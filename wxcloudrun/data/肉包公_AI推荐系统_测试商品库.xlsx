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b3f20895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8c1ffe5ecd44e69"/>
    <x:sheet xmlns:r="http://schemas.openxmlformats.org/officeDocument/2006/relationships" name="商品库" sheetId="2" r:id="R2c2ebff90b51431d"/>
    <x:sheet xmlns:r="http://schemas.openxmlformats.org/officeDocument/2006/relationships" name="推荐规则样例" sheetId="3" r:id="Rbd76975b5d9f4fb5"/>
    <x:sheet xmlns:r="http://schemas.openxmlformats.org/officeDocument/2006/relationships" name="测试用户需求" sheetId="4" r:id="Rde2764b38f294261"/>
    <x:sheet xmlns:r="http://schemas.openxmlformats.org/officeDocument/2006/relationships" name="字段字典" sheetId="5" r:id="Rc384f09cd004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0.0"/>
    <x:numFmt numFmtId="201" formatCode="0.0%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2E1B"/>
      </x:patternFill>
    </x:fill>
    <x:fill>
      <x:patternFill patternType="solid">
        <x:fgColor rgb="FF1F4E4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7f05884584357" /><Relationship Type="http://schemas.openxmlformats.org/officeDocument/2006/relationships/theme" Target="/xl/theme/theme1.xml" Id="Ra56245dbf1dd4941" /><Relationship Type="http://schemas.openxmlformats.org/officeDocument/2006/relationships/sharedStrings" Target="/xl/sharedStrings.xml" Id="R6f8a3b6368954ef7" /><Relationship Type="http://schemas.openxmlformats.org/officeDocument/2006/relationships/worksheet" Target="/xl/worksheets/sheet1.xml" Id="R18c1ffe5ecd44e69" /><Relationship Type="http://schemas.openxmlformats.org/officeDocument/2006/relationships/worksheet" Target="/xl/worksheets/sheet2.xml" Id="R2c2ebff90b51431d" /><Relationship Type="http://schemas.openxmlformats.org/officeDocument/2006/relationships/worksheet" Target="/xl/worksheets/sheet3.xml" Id="Rbd76975b5d9f4fb5" /><Relationship Type="http://schemas.openxmlformats.org/officeDocument/2006/relationships/worksheet" Target="/xl/worksheets/sheet4.xml" Id="Rde2764b38f294261" /><Relationship Type="http://schemas.openxmlformats.org/officeDocument/2006/relationships/worksheet" Target="/xl/worksheets/sheet5.xml" Id="Rc384f09cd004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>
      <x:c r="A1" s="8" t="str">
        <x:v>肉包公 AI 推荐系统测试商品库</x:v>
      </x:c>
      <x:c r="B1" s="8" t="str"/>
    </x:row>
    <x:row r="2">
      <x:c r="A2" s="9" t="str">
        <x:v>生成时间</x:v>
      </x:c>
      <x:c r="B2" s="9" t="str">
        <x:v>2026-06-29 05:53</x:v>
      </x:c>
    </x:row>
    <x:row r="3">
      <x:c r="A3" s="9" t="str">
        <x:v>用途</x:v>
      </x:c>
      <x:c r="B3" s="9" t="str">
        <x:v>用于扫码点餐/AI搭配推荐系统的后台测试。所有商品、价格、库存均为虚构测试数据，不代表真实售卖信息。</x:v>
      </x:c>
    </x:row>
    <x:row r="4">
      <x:c r="A4" s="9" t="str">
        <x:v>推荐后端过滤顺序</x:v>
      </x:c>
      <x:c r="B4" s="9" t="str">
        <x:v>1. 上架状态=上架；2. 库存&gt;0；3. 按预算/人数/口味/忌口筛选；4. 将候选商品传给大模型；5. 后端二次校验价格、库存和总价。</x:v>
      </x:c>
    </x:row>
    <x:row r="5">
      <x:c r="A5" s="9" t="str">
        <x:v>核心工作表</x:v>
      </x:c>
      <x:c r="B5" s="9" t="str">
        <x:v>商品库、推荐规则样例、测试用户需求、字段字典。</x:v>
      </x:c>
    </x:row>
    <x:row r="6">
      <x:c r="A6" s="9" t="str">
        <x:v>重要提醒</x:v>
      </x:c>
      <x:c r="B6" s="9" t="str">
        <x:v>大模型只负责组合解释和自然话术，最终价格、库存、优惠、是否可售必须由后端系统决定。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24" hidden="0" customWidth="1"/>
    <x:col min="10" max="10" width="8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8" hidden="0" customWidth="1"/>
    <x:col min="16" max="16" width="10" hidden="0" customWidth="1"/>
    <x:col min="17" max="17" width="14" hidden="0" customWidth="1"/>
    <x:col min="18" max="18" width="14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8" hidden="0" customWidth="1"/>
    <x:col min="24" max="24" width="28" hidden="0" customWidth="1"/>
    <x:col min="25" max="25" width="24" hidden="0" customWidth="1"/>
    <x:col min="26" max="26" width="24" hidden="0" customWidth="1"/>
    <x:col min="27" max="27" width="22" hidden="0" customWidth="1"/>
    <x:col min="28" max="28" width="22" hidden="0" customWidth="1"/>
    <x:col min="29" max="29" width="12" hidden="0" customWidth="1"/>
    <x:col min="30" max="30" width="34" hidden="0" customWidth="1"/>
    <x:col min="31" max="31" width="32" hidden="0" customWidth="1"/>
    <x:col min="32" max="32" width="22" hidden="0" customWidth="1"/>
    <x:col min="33" max="33" width="42" hidden="0" customWidth="1"/>
    <x:col min="34" max="34" width="18" hidden="0" customWidth="1"/>
  </x:cols>
  <x:sheetData>
    <x:row r="1">
      <x:c r="A1" s="13" t="str">
        <x:v>产品ID</x:v>
      </x:c>
      <x:c r="B1" s="13" t="str">
        <x:v>商品名称</x:v>
      </x:c>
      <x:c r="C1" s="13" t="str">
        <x:v>类目</x:v>
      </x:c>
      <x:c r="D1" s="13" t="str">
        <x:v>子类</x:v>
      </x:c>
      <x:c r="E1" s="13" t="str">
        <x:v>是否套餐</x:v>
      </x:c>
      <x:c r="F1" s="13" t="str">
        <x:v>售价</x:v>
      </x:c>
      <x:c r="G1" s="13" t="str">
        <x:v>成本估算</x:v>
      </x:c>
      <x:c r="H1" s="13" t="str">
        <x:v>毛利率(公式)</x:v>
      </x:c>
      <x:c r="I1" s="13" t="str">
        <x:v>规格</x:v>
      </x:c>
      <x:c r="J1" s="13" t="str">
        <x:v>单位</x:v>
      </x:c>
      <x:c r="K1" s="13" t="str">
        <x:v>建议人数下限</x:v>
      </x:c>
      <x:c r="L1" s="13" t="str">
        <x:v>建议人数上限</x:v>
      </x:c>
      <x:c r="M1" s="13" t="str">
        <x:v>推荐预算下限</x:v>
      </x:c>
      <x:c r="N1" s="13" t="str">
        <x:v>推荐预算上限</x:v>
      </x:c>
      <x:c r="O1" s="13" t="str">
        <x:v>库存</x:v>
      </x:c>
      <x:c r="P1" s="13" t="str">
        <x:v>上架状态</x:v>
      </x:c>
      <x:c r="Q1" s="13" t="str">
        <x:v>推荐权重(1-10)</x:v>
      </x:c>
      <x:c r="R1" s="13" t="str">
        <x:v>出餐时间(分钟)</x:v>
      </x:c>
      <x:c r="S1" s="13" t="str">
        <x:v>堂食可用</x:v>
      </x:c>
      <x:c r="T1" s="13" t="str">
        <x:v>外带可用</x:v>
      </x:c>
      <x:c r="U1" s="13" t="str">
        <x:v>外卖可用</x:v>
      </x:c>
      <x:c r="V1" s="13" t="str">
        <x:v>口味强度</x:v>
      </x:c>
      <x:c r="W1" s="13" t="str">
        <x:v>辣度</x:v>
      </x:c>
      <x:c r="X1" s="13" t="str">
        <x:v>适合场景标签</x:v>
      </x:c>
      <x:c r="Y1" s="13" t="str">
        <x:v>适合人群</x:v>
      </x:c>
      <x:c r="Z1" s="13" t="str">
        <x:v>不适合人群</x:v>
      </x:c>
      <x:c r="AA1" s="13" t="str">
        <x:v>饮食标签</x:v>
      </x:c>
      <x:c r="AB1" s="13" t="str">
        <x:v>过敏/忌口提示</x:v>
      </x:c>
      <x:c r="AC1" s="13" t="str">
        <x:v>是否需要加热</x:v>
      </x:c>
      <x:c r="AD1" s="13" t="str">
        <x:v>商品描述</x:v>
      </x:c>
      <x:c r="AE1" s="13" t="str">
        <x:v>组合内容/原料</x:v>
      </x:c>
      <x:c r="AF1" s="13" t="str">
        <x:v>加购建议</x:v>
      </x:c>
      <x:c r="AG1" s="13" t="str">
        <x:v>AI提示词商品摘要</x:v>
      </x:c>
      <x:c r="AH1" s="13" t="str">
        <x:v>测试备注</x:v>
      </x:c>
    </x:row>
    <x:row r="2">
      <x:c r="A2" s="16" t="str">
        <x:v>P001</x:v>
      </x:c>
      <x:c r="B2" s="16" t="str">
        <x:v>轻脂卤牛腱能量碗</x:v>
      </x:c>
      <x:c r="C2" s="16" t="str">
        <x:v>减脂轻食</x:v>
      </x:c>
      <x:c r="D2" s="16" t="str">
        <x:v>能量碗</x:v>
      </x:c>
      <x:c r="E2" s="16" t="str">
        <x:v>否</x:v>
      </x:c>
      <x:c r="F2" s="18" t="n">
        <x:v>39.9</x:v>
      </x:c>
      <x:c r="G2" s="18" t="n">
        <x:v>22</x:v>
      </x:c>
      <x:c r="H2" s="20" t="n">
        <x:f>IFERROR((F2-G2)/F2,0)</x:f>
        <x:v>0.44862155388471175</x:v>
      </x:c>
      <x:c r="I2" s="16" t="str">
        <x:v>卤牛腱120g+蔬菜+煎蛋</x:v>
      </x:c>
      <x:c r="J2" s="16" t="str">
        <x:v>份</x:v>
      </x:c>
      <x:c r="K2" s="22" t="n">
        <x:v>1</x:v>
      </x:c>
      <x:c r="L2" s="22" t="n">
        <x:v>1</x:v>
      </x:c>
      <x:c r="M2" s="22" t="n">
        <x:v>35</x:v>
      </x:c>
      <x:c r="N2" s="22" t="n">
        <x:v>55</x:v>
      </x:c>
      <x:c r="O2" s="22" t="n">
        <x:v>36</x:v>
      </x:c>
      <x:c r="P2" s="22" t="str">
        <x:v>上架</x:v>
      </x:c>
      <x:c r="Q2" s="22" t="n">
        <x:v>9</x:v>
      </x:c>
      <x:c r="R2" s="22" t="n">
        <x:v>6</x:v>
      </x:c>
      <x:c r="S2" s="16" t="str">
        <x:v>是</x:v>
      </x:c>
      <x:c r="T2" s="16" t="str">
        <x:v>是</x:v>
      </x:c>
      <x:c r="U2" s="16" t="str">
        <x:v>是</x:v>
      </x:c>
      <x:c r="V2" s="16" t="str">
        <x:v>清淡</x:v>
      </x:c>
      <x:c r="W2" s="16" t="str">
        <x:v>不辣</x:v>
      </x:c>
      <x:c r="X2" s="16" t="str">
        <x:v>减脂高蛋白,正常吃饭</x:v>
      </x:c>
      <x:c r="Y2" s="16" t="str">
        <x:v>减脂人群,白领,晚餐轻食</x:v>
      </x:c>
      <x:c r="Z2" s="16" t="str">
        <x:v>重口味人群</x:v>
      </x:c>
      <x:c r="AA2" s="16" t="str">
        <x:v>高蛋白,低油,低脂</x:v>
      </x:c>
      <x:c r="AB2" s="16" t="str">
        <x:v>含鸡蛋</x:v>
      </x:c>
      <x:c r="AC2" s="16" t="str">
        <x:v>否</x:v>
      </x:c>
      <x:c r="AD2" s="16" t="str">
        <x:v>卤牛腱配蔬菜和煎蛋，适合轻负担正餐。</x:v>
      </x:c>
      <x:c r="AE2" s="16" t="str">
        <x:v>卤牛腱、煎蛋、西蓝花、玉米粒</x:v>
      </x:c>
      <x:c r="AF2" s="16" t="str">
        <x:v>加牛筋丸汤</x:v>
      </x:c>
      <x:c r="AG2" s="16" t="str">
        <x:v>轻脂卤牛腱能量碗：卤牛腱配蔬菜和煎蛋，适合轻负担正餐。 售价39.9元，规格卤牛腱120g+蔬菜+煎蛋，适合减脂高蛋白,正常吃饭，口味清淡/不辣。</x:v>
      </x:c>
      <x:c r="AH2" s="16" t="str">
        <x:v>测试减脂场景</x:v>
      </x:c>
    </x:row>
    <x:row r="3">
      <x:c r="A3" s="16" t="str">
        <x:v>P002</x:v>
      </x:c>
      <x:c r="B3" s="16" t="str">
        <x:v>黑椒安格斯牛肉饭</x:v>
      </x:c>
      <x:c r="C3" s="16" t="str">
        <x:v>主食饭面</x:v>
      </x:c>
      <x:c r="D3" s="16" t="str">
        <x:v>盖饭</x:v>
      </x:c>
      <x:c r="E3" s="16" t="str">
        <x:v>否</x:v>
      </x:c>
      <x:c r="F3" s="18" t="n">
        <x:v>32.9</x:v>
      </x:c>
      <x:c r="G3" s="18" t="n">
        <x:v>18.5</x:v>
      </x:c>
      <x:c r="H3" s="20" t="n">
        <x:f>IFERROR((F3-G3)/F3,0)</x:f>
        <x:v>0.43768996960486317</x:v>
      </x:c>
      <x:c r="I3" s="16" t="str">
        <x:v>牛肉90g+米饭+洋葱</x:v>
      </x:c>
      <x:c r="J3" s="16" t="str">
        <x:v>份</x:v>
      </x:c>
      <x:c r="K3" s="22" t="n">
        <x:v>1</x:v>
      </x:c>
      <x:c r="L3" s="22" t="n">
        <x:v>1</x:v>
      </x:c>
      <x:c r="M3" s="22" t="n">
        <x:v>30</x:v>
      </x:c>
      <x:c r="N3" s="22" t="n">
        <x:v>50</x:v>
      </x:c>
      <x:c r="O3" s="22" t="n">
        <x:v>48</x:v>
      </x:c>
      <x:c r="P3" s="22" t="str">
        <x:v>上架</x:v>
      </x:c>
      <x:c r="Q3" s="22" t="n">
        <x:v>8</x:v>
      </x:c>
      <x:c r="R3" s="22" t="n">
        <x:v>5</x:v>
      </x:c>
      <x:c r="S3" s="16" t="str">
        <x:v>是</x:v>
      </x:c>
      <x:c r="T3" s="16" t="str">
        <x:v>是</x:v>
      </x:c>
      <x:c r="U3" s="16" t="str">
        <x:v>是</x:v>
      </x:c>
      <x:c r="V3" s="16" t="str">
        <x:v>正常</x:v>
      </x:c>
      <x:c r="W3" s="16" t="str">
        <x:v>微辣</x:v>
      </x:c>
      <x:c r="X3" s="16" t="str">
        <x:v>正常吃饭,一个人吃饭</x:v>
      </x:c>
      <x:c r="Y3" s="16" t="str">
        <x:v>上班族,学生,想吃饱的人</x:v>
      </x:c>
      <x:c r="Z3" s="16" t="str">
        <x:v>严格减脂人群</x:v>
      </x:c>
      <x:c r="AA3" s="16" t="str">
        <x:v>饱腹,牛肉主食</x:v>
      </x:c>
      <x:c r="AB3" s="16" t="str">
        <x:v>含黑椒、洋葱</x:v>
      </x:c>
      <x:c r="AC3" s="16" t="str">
        <x:v>否</x:v>
      </x:c>
      <x:c r="AD3" s="16" t="str">
        <x:v>黑椒风味牛肉盖饭，适合一个人快速吃饱。</x:v>
      </x:c>
      <x:c r="AE3" s="16" t="str">
        <x:v>安格斯牛肉片、米饭、洋葱、黑椒汁</x:v>
      </x:c>
      <x:c r="AF3" s="16" t="str">
        <x:v>加煎蛋</x:v>
      </x:c>
      <x:c r="AG3" s="16" t="str">
        <x:v>黑椒安格斯牛肉饭：黑椒风味牛肉盖饭，适合一个人快速吃饱。 售价32.9元，规格牛肉90g+米饭+洋葱，适合正常吃饭,一个人吃饭，口味正常/微辣。</x:v>
      </x:c>
      <x:c r="AH3" s="16" t="str">
        <x:v>测试单人饭场景</x:v>
      </x:c>
    </x:row>
    <x:row r="4">
      <x:c r="A4" s="16" t="str">
        <x:v>P003</x:v>
      </x:c>
      <x:c r="B4" s="16" t="str">
        <x:v>番茄慢炖牛腩饭</x:v>
      </x:c>
      <x:c r="C4" s="16" t="str">
        <x:v>主食饭面</x:v>
      </x:c>
      <x:c r="D4" s="16" t="str">
        <x:v>盖饭</x:v>
      </x:c>
      <x:c r="E4" s="16" t="str">
        <x:v>否</x:v>
      </x:c>
      <x:c r="F4" s="18" t="n">
        <x:v>36.9</x:v>
      </x:c>
      <x:c r="G4" s="18" t="n">
        <x:v>20.8</x:v>
      </x:c>
      <x:c r="H4" s="20" t="n">
        <x:f>IFERROR((F4-G4)/F4,0)</x:f>
        <x:v>0.4363143631436314</x:v>
      </x:c>
      <x:c r="I4" s="16" t="str">
        <x:v>牛腩110g+米饭</x:v>
      </x:c>
      <x:c r="J4" s="16" t="str">
        <x:v>份</x:v>
      </x:c>
      <x:c r="K4" s="22" t="n">
        <x:v>1</x:v>
      </x:c>
      <x:c r="L4" s="22" t="n">
        <x:v>1</x:v>
      </x:c>
      <x:c r="M4" s="22" t="n">
        <x:v>35</x:v>
      </x:c>
      <x:c r="N4" s="22" t="n">
        <x:v>55</x:v>
      </x:c>
      <x:c r="O4" s="22" t="n">
        <x:v>32</x:v>
      </x:c>
      <x:c r="P4" s="22" t="str">
        <x:v>上架</x:v>
      </x:c>
      <x:c r="Q4" s="22" t="n">
        <x:v>7</x:v>
      </x:c>
      <x:c r="R4" s="22" t="n">
        <x:v>8</x:v>
      </x:c>
      <x:c r="S4" s="16" t="str">
        <x:v>是</x:v>
      </x:c>
      <x:c r="T4" s="16" t="str">
        <x:v>是</x:v>
      </x:c>
      <x:c r="U4" s="16" t="str">
        <x:v>是</x:v>
      </x:c>
      <x:c r="V4" s="16" t="str">
        <x:v>正常</x:v>
      </x:c>
      <x:c r="W4" s="16" t="str">
        <x:v>不辣</x:v>
      </x:c>
      <x:c r="X4" s="16" t="str">
        <x:v>正常吃饭,孩子吃</x:v>
      </x:c>
      <x:c r="Y4" s="16" t="str">
        <x:v>孩子,老人,不吃辣人群</x:v>
      </x:c>
      <x:c r="Z4" s="16" t="str">
        <x:v>不吃番茄人群</x:v>
      </x:c>
      <x:c r="AA4" s="16" t="str">
        <x:v>不辣,软烂,饱腹</x:v>
      </x:c>
      <x:c r="AB4" s="16" t="str">
        <x:v>番茄风味</x:v>
      </x:c>
      <x:c r="AC4" s="16" t="str">
        <x:v>否</x:v>
      </x:c>
      <x:c r="AD4" s="16" t="str">
        <x:v>番茄牛腩口味温和，牛腩炖得软烂。</x:v>
      </x:c>
      <x:c r="AE4" s="16" t="str">
        <x:v>牛腩、番茄、米饭</x:v>
      </x:c>
      <x:c r="AF4" s="16" t="str">
        <x:v>加牛肉饼</x:v>
      </x:c>
      <x:c r="AG4" s="16" t="str">
        <x:v>番茄慢炖牛腩饭：番茄牛腩口味温和，牛腩炖得软烂。 售价36.9元，规格牛腩110g+米饭，适合正常吃饭,孩子吃，口味正常/不辣。</x:v>
      </x:c>
      <x:c r="AH4" s="16" t="str">
        <x:v>测试孩子不辣场景</x:v>
      </x:c>
    </x:row>
    <x:row r="5">
      <x:c r="A5" s="16" t="str">
        <x:v>P004</x:v>
      </x:c>
      <x:c r="B5" s="16" t="str">
        <x:v>湘式和牛碎肉拌饭</x:v>
      </x:c>
      <x:c r="C5" s="16" t="str">
        <x:v>主食饭面</x:v>
      </x:c>
      <x:c r="D5" s="16" t="str">
        <x:v>拌饭</x:v>
      </x:c>
      <x:c r="E5" s="16" t="str">
        <x:v>否</x:v>
      </x:c>
      <x:c r="F5" s="18" t="n">
        <x:v>29.9</x:v>
      </x:c>
      <x:c r="G5" s="18" t="n">
        <x:v>16</x:v>
      </x:c>
      <x:c r="H5" s="20" t="n">
        <x:f>IFERROR((F5-G5)/F5,0)</x:f>
        <x:v>0.4648829431438127</x:v>
      </x:c>
      <x:c r="I5" s="16" t="str">
        <x:v>和牛碎肉80g+米饭</x:v>
      </x:c>
      <x:c r="J5" s="16" t="str">
        <x:v>份</x:v>
      </x:c>
      <x:c r="K5" s="22" t="n">
        <x:v>1</x:v>
      </x:c>
      <x:c r="L5" s="22" t="n">
        <x:v>1</x:v>
      </x:c>
      <x:c r="M5" s="22" t="n">
        <x:v>25</x:v>
      </x:c>
      <x:c r="N5" s="22" t="n">
        <x:v>45</x:v>
      </x:c>
      <x:c r="O5" s="22" t="n">
        <x:v>58</x:v>
      </x:c>
      <x:c r="P5" s="22" t="str">
        <x:v>上架</x:v>
      </x:c>
      <x:c r="Q5" s="22" t="n">
        <x:v>8</x:v>
      </x:c>
      <x:c r="R5" s="22" t="n">
        <x:v>5</x:v>
      </x:c>
      <x:c r="S5" s="16" t="str">
        <x:v>是</x:v>
      </x:c>
      <x:c r="T5" s="16" t="str">
        <x:v>是</x:v>
      </x:c>
      <x:c r="U5" s="16" t="str">
        <x:v>是</x:v>
      </x:c>
      <x:c r="V5" s="16" t="str">
        <x:v>重口味</x:v>
      </x:c>
      <x:c r="W5" s="16" t="str">
        <x:v>中辣</x:v>
      </x:c>
      <x:c r="X5" s="16" t="str">
        <x:v>想吃辣解馋,正常吃饭</x:v>
      </x:c>
      <x:c r="Y5" s="16" t="str">
        <x:v>爱吃辣人群,年轻顾客</x:v>
      </x:c>
      <x:c r="Z5" s="16" t="str">
        <x:v>孩子,不吃辣人群</x:v>
      </x:c>
      <x:c r="AA5" s="16" t="str">
        <x:v>下饭,辣味</x:v>
      </x:c>
      <x:c r="AB5" s="16" t="str">
        <x:v>含辣椒、葱蒜</x:v>
      </x:c>
      <x:c r="AC5" s="16" t="str">
        <x:v>否</x:v>
      </x:c>
      <x:c r="AD5" s="16" t="str">
        <x:v>湘式小炒风味，和牛碎肉香辣下饭。</x:v>
      </x:c>
      <x:c r="AE5" s="16" t="str">
        <x:v>和牛碎肉、米饭、辣椒、酸豆角</x:v>
      </x:c>
      <x:c r="AF5" s="16" t="str">
        <x:v>加牛肉酱</x:v>
      </x:c>
      <x:c r="AG5" s="16" t="str">
        <x:v>湘式和牛碎肉拌饭：湘式小炒风味，和牛碎肉香辣下饭。 售价29.9元，规格和牛碎肉80g+米饭，适合想吃辣解馋,正常吃饭，口味重口味/中辣。</x:v>
      </x:c>
      <x:c r="AH5" s="16" t="str">
        <x:v>测试辣味主食</x:v>
      </x:c>
    </x:row>
    <x:row r="6">
      <x:c r="A6" s="16" t="str">
        <x:v>P005</x:v>
      </x:c>
      <x:c r="B6" s="16" t="str">
        <x:v>酸豆角牛肉碎饭</x:v>
      </x:c>
      <x:c r="C6" s="16" t="str">
        <x:v>主食饭面</x:v>
      </x:c>
      <x:c r="D6" s="16" t="str">
        <x:v>拌饭</x:v>
      </x:c>
      <x:c r="E6" s="16" t="str">
        <x:v>否</x:v>
      </x:c>
      <x:c r="F6" s="18" t="n">
        <x:v>28.9</x:v>
      </x:c>
      <x:c r="G6" s="18" t="n">
        <x:v>15.5</x:v>
      </x:c>
      <x:c r="H6" s="20" t="n">
        <x:f>IFERROR((F6-G6)/F6,0)</x:f>
        <x:v>0.46366782006920415</x:v>
      </x:c>
      <x:c r="I6" s="16" t="str">
        <x:v>牛肉碎90g+米饭</x:v>
      </x:c>
      <x:c r="J6" s="16" t="str">
        <x:v>份</x:v>
      </x:c>
      <x:c r="K6" s="22" t="n">
        <x:v>1</x:v>
      </x:c>
      <x:c r="L6" s="22" t="n">
        <x:v>1</x:v>
      </x:c>
      <x:c r="M6" s="22" t="n">
        <x:v>25</x:v>
      </x:c>
      <x:c r="N6" s="22" t="n">
        <x:v>45</x:v>
      </x:c>
      <x:c r="O6" s="22" t="n">
        <x:v>40</x:v>
      </x:c>
      <x:c r="P6" s="22" t="str">
        <x:v>上架</x:v>
      </x:c>
      <x:c r="Q6" s="22" t="n">
        <x:v>7</x:v>
      </x:c>
      <x:c r="R6" s="22" t="n">
        <x:v>5</x:v>
      </x:c>
      <x:c r="S6" s="16" t="str">
        <x:v>是</x:v>
      </x:c>
      <x:c r="T6" s="16" t="str">
        <x:v>是</x:v>
      </x:c>
      <x:c r="U6" s="16" t="str">
        <x:v>是</x:v>
      </x:c>
      <x:c r="V6" s="16" t="str">
        <x:v>重口味</x:v>
      </x:c>
      <x:c r="W6" s="16" t="str">
        <x:v>微辣</x:v>
      </x:c>
      <x:c r="X6" s="16" t="str">
        <x:v>正常吃饭,想吃辣解馋</x:v>
      </x:c>
      <x:c r="Y6" s="16" t="str">
        <x:v>爱酸辣口味顾客</x:v>
      </x:c>
      <x:c r="Z6" s="16" t="str">
        <x:v>孩子,不吃酸人群</x:v>
      </x:c>
      <x:c r="AA6" s="16" t="str">
        <x:v>开胃,夏季</x:v>
      </x:c>
      <x:c r="AB6" s="16" t="str">
        <x:v>含酸豆角、辣椒</x:v>
      </x:c>
      <x:c r="AC6" s="16" t="str">
        <x:v>否</x:v>
      </x:c>
      <x:c r="AD6" s="16" t="str">
        <x:v>酸豆角搭配牛肉碎，夏天开胃好入口。</x:v>
      </x:c>
      <x:c r="AE6" s="16" t="str">
        <x:v>牛肉碎、酸豆角、米饭</x:v>
      </x:c>
      <x:c r="AF6" s="16" t="str">
        <x:v>加牛筋丸汤</x:v>
      </x:c>
      <x:c r="AG6" s="16" t="str">
        <x:v>酸豆角牛肉碎饭：酸豆角搭配牛肉碎，夏天开胃好入口。 售价28.9元，规格牛肉碎90g+米饭，适合正常吃饭,想吃辣解馋，口味重口味/微辣。</x:v>
      </x:c>
      <x:c r="AH6" s="16" t="str">
        <x:v>测试夏季推荐</x:v>
      </x:c>
    </x:row>
    <x:row r="7">
      <x:c r="A7" s="16" t="str">
        <x:v>P006</x:v>
      </x:c>
      <x:c r="B7" s="16" t="str">
        <x:v>咖喱牛腩饭</x:v>
      </x:c>
      <x:c r="C7" s="16" t="str">
        <x:v>主食饭面</x:v>
      </x:c>
      <x:c r="D7" s="16" t="str">
        <x:v>盖饭</x:v>
      </x:c>
      <x:c r="E7" s="16" t="str">
        <x:v>否</x:v>
      </x:c>
      <x:c r="F7" s="18" t="n">
        <x:v>34.9</x:v>
      </x:c>
      <x:c r="G7" s="18" t="n">
        <x:v>19</x:v>
      </x:c>
      <x:c r="H7" s="20" t="n">
        <x:f>IFERROR((F7-G7)/F7,0)</x:f>
        <x:v>0.45558739255014324</x:v>
      </x:c>
      <x:c r="I7" s="16" t="str">
        <x:v>牛腩100g+米饭</x:v>
      </x:c>
      <x:c r="J7" s="16" t="str">
        <x:v>份</x:v>
      </x:c>
      <x:c r="K7" s="22" t="n">
        <x:v>1</x:v>
      </x:c>
      <x:c r="L7" s="22" t="n">
        <x:v>1</x:v>
      </x:c>
      <x:c r="M7" s="22" t="n">
        <x:v>30</x:v>
      </x:c>
      <x:c r="N7" s="22" t="n">
        <x:v>55</x:v>
      </x:c>
      <x:c r="O7" s="22" t="n">
        <x:v>25</x:v>
      </x:c>
      <x:c r="P7" s="22" t="str">
        <x:v>上架</x:v>
      </x:c>
      <x:c r="Q7" s="22" t="n">
        <x:v>7</x:v>
      </x:c>
      <x:c r="R7" s="22" t="n">
        <x:v>7</x:v>
      </x:c>
      <x:c r="S7" s="16" t="str">
        <x:v>是</x:v>
      </x:c>
      <x:c r="T7" s="16" t="str">
        <x:v>是</x:v>
      </x:c>
      <x:c r="U7" s="16" t="str">
        <x:v>是</x:v>
      </x:c>
      <x:c r="V7" s="16" t="str">
        <x:v>正常</x:v>
      </x:c>
      <x:c r="W7" s="16" t="str">
        <x:v>不辣</x:v>
      </x:c>
      <x:c r="X7" s="16" t="str">
        <x:v>正常吃饭,孩子吃</x:v>
      </x:c>
      <x:c r="Y7" s="16" t="str">
        <x:v>不吃辣人群,孩子</x:v>
      </x:c>
      <x:c r="Z7" s="16" t="str">
        <x:v>严格清淡人群</x:v>
      </x:c>
      <x:c r="AA7" s="16" t="str">
        <x:v>饱腹,不辣</x:v>
      </x:c>
      <x:c r="AB7" s="16" t="str">
        <x:v>含咖喱、奶制品风险</x:v>
      </x:c>
      <x:c r="AC7" s="16" t="str">
        <x:v>否</x:v>
      </x:c>
      <x:c r="AD7" s="16" t="str">
        <x:v>咖喱风味浓郁但不辣，适合想吃饱。</x:v>
      </x:c>
      <x:c r="AE7" s="16" t="str">
        <x:v>牛腩、咖喱、土豆、米饭</x:v>
      </x:c>
      <x:c r="AF7" s="16" t="str">
        <x:v>加煎蛋</x:v>
      </x:c>
      <x:c r="AG7" s="16" t="str">
        <x:v>咖喱牛腩饭：咖喱风味浓郁但不辣，适合想吃饱。 售价34.9元，规格牛腩100g+米饭，适合正常吃饭,孩子吃，口味正常/不辣。</x:v>
      </x:c>
      <x:c r="AH7" s="16" t="str">
        <x:v>测试咖喱</x:v>
      </x:c>
    </x:row>
    <x:row r="8">
      <x:c r="A8" s="16" t="str">
        <x:v>P007</x:v>
      </x:c>
      <x:c r="B8" s="16" t="str">
        <x:v>UFO和牛汉堡</x:v>
      </x:c>
      <x:c r="C8" s="16" t="str">
        <x:v>主食饭面</x:v>
      </x:c>
      <x:c r="D8" s="16" t="str">
        <x:v>汉堡</x:v>
      </x:c>
      <x:c r="E8" s="16" t="str">
        <x:v>否</x:v>
      </x:c>
      <x:c r="F8" s="18" t="n">
        <x:v>26.9</x:v>
      </x:c>
      <x:c r="G8" s="18" t="n">
        <x:v>14.5</x:v>
      </x:c>
      <x:c r="H8" s="20" t="n">
        <x:f>IFERROR((F8-G8)/F8,0)</x:f>
        <x:v>0.46096654275092935</x:v>
      </x:c>
      <x:c r="I8" s="16" t="str">
        <x:v>单个UFO造型汉堡</x:v>
      </x:c>
      <x:c r="J8" s="16" t="str">
        <x:v>个</x:v>
      </x:c>
      <x:c r="K8" s="22" t="n">
        <x:v>1</x:v>
      </x:c>
      <x:c r="L8" s="22" t="n">
        <x:v>1</x:v>
      </x:c>
      <x:c r="M8" s="22" t="n">
        <x:v>25</x:v>
      </x:c>
      <x:c r="N8" s="22" t="n">
        <x:v>40</x:v>
      </x:c>
      <x:c r="O8" s="22" t="n">
        <x:v>22</x:v>
      </x:c>
      <x:c r="P8" s="22" t="str">
        <x:v>上架</x:v>
      </x:c>
      <x:c r="Q8" s="22" t="n">
        <x:v>8</x:v>
      </x:c>
      <x:c r="R8" s="22" t="n">
        <x:v>4</x:v>
      </x:c>
      <x:c r="S8" s="16" t="str">
        <x:v>是</x:v>
      </x:c>
      <x:c r="T8" s="16" t="str">
        <x:v>是</x:v>
      </x:c>
      <x:c r="U8" s="16" t="str">
        <x:v>是</x:v>
      </x:c>
      <x:c r="V8" s="16" t="str">
        <x:v>正常</x:v>
      </x:c>
      <x:c r="W8" s="16" t="str">
        <x:v>不辣</x:v>
      </x:c>
      <x:c r="X8" s="16" t="str">
        <x:v>一个人吃饭,孩子吃,想解馋</x:v>
      </x:c>
      <x:c r="Y8" s="16" t="str">
        <x:v>孩子,年轻顾客,外带顾客</x:v>
      </x:c>
      <x:c r="Z8" s="16" t="str">
        <x:v>严格减脂人群</x:v>
      </x:c>
      <x:c r="AA8" s="16" t="str">
        <x:v>方便携带,不辣</x:v>
      </x:c>
      <x:c r="AB8" s="16" t="str">
        <x:v>含面包、蛋奶可能</x:v>
      </x:c>
      <x:c r="AC8" s="16" t="str">
        <x:v>否</x:v>
      </x:c>
      <x:c r="AD8" s="16" t="str">
        <x:v>UFO造型牛肉汉堡，适合外带和孩子尝鲜。</x:v>
      </x:c>
      <x:c r="AE8" s="16" t="str">
        <x:v>汉堡胚、和牛肉饼、生菜、酱料</x:v>
      </x:c>
      <x:c r="AF8" s="16" t="str">
        <x:v>加牛肉丸汤</x:v>
      </x:c>
      <x:c r="AG8" s="16" t="str">
        <x:v>UFO和牛汉堡：UFO造型牛肉汉堡，适合外带和孩子尝鲜。 售价26.9元，规格单个UFO造型汉堡，适合一个人吃饭,孩子吃,想解馋，口味正常/不辣。</x:v>
      </x:c>
      <x:c r="AH8" s="16" t="str">
        <x:v>测试造型产品</x:v>
      </x:c>
    </x:row>
    <x:row r="9">
      <x:c r="A9" s="16" t="str">
        <x:v>P008</x:v>
      </x:c>
      <x:c r="B9" s="16" t="str">
        <x:v>鸡蛋炒牛肉馄饨</x:v>
      </x:c>
      <x:c r="C9" s="16" t="str">
        <x:v>主食饭面</x:v>
      </x:c>
      <x:c r="D9" s="16" t="str">
        <x:v>炒馄饨</x:v>
      </x:c>
      <x:c r="E9" s="16" t="str">
        <x:v>否</x:v>
      </x:c>
      <x:c r="F9" s="18" t="n">
        <x:v>19.9</x:v>
      </x:c>
      <x:c r="G9" s="18" t="n">
        <x:v>10.5</x:v>
      </x:c>
      <x:c r="H9" s="20" t="n">
        <x:f>IFERROR((F9-G9)/F9,0)</x:f>
        <x:v>0.47236180904522607</x:v>
      </x:c>
      <x:c r="I9" s="16" t="str">
        <x:v>牛肉馄饨12个+鸡蛋</x:v>
      </x:c>
      <x:c r="J9" s="16" t="str">
        <x:v>份</x:v>
      </x:c>
      <x:c r="K9" s="22" t="n">
        <x:v>1</x:v>
      </x:c>
      <x:c r="L9" s="22" t="n">
        <x:v>1</x:v>
      </x:c>
      <x:c r="M9" s="22" t="n">
        <x:v>15</x:v>
      </x:c>
      <x:c r="N9" s="22" t="n">
        <x:v>30</x:v>
      </x:c>
      <x:c r="O9" s="22" t="n">
        <x:v>60</x:v>
      </x:c>
      <x:c r="P9" s="22" t="str">
        <x:v>上架</x:v>
      </x:c>
      <x:c r="Q9" s="22" t="n">
        <x:v>8</x:v>
      </x:c>
      <x:c r="R9" s="22" t="n">
        <x:v>6</x:v>
      </x:c>
      <x:c r="S9" s="16" t="str">
        <x:v>是</x:v>
      </x:c>
      <x:c r="T9" s="16" t="str">
        <x:v>是</x:v>
      </x:c>
      <x:c r="U9" s="16" t="str">
        <x:v>是</x:v>
      </x:c>
      <x:c r="V9" s="16" t="str">
        <x:v>正常</x:v>
      </x:c>
      <x:c r="W9" s="16" t="str">
        <x:v>不辣</x:v>
      </x:c>
      <x:c r="X9" s="16" t="str">
        <x:v>一个人吃饭,孩子吃</x:v>
      </x:c>
      <x:c r="Y9" s="16" t="str">
        <x:v>孩子,学生,预算低顾客</x:v>
      </x:c>
      <x:c r="Z9" s="16" t="str">
        <x:v>严格减脂人群</x:v>
      </x:c>
      <x:c r="AA9" s="16" t="str">
        <x:v>主食,不辣</x:v>
      </x:c>
      <x:c r="AB9" s="16" t="str">
        <x:v>含鸡蛋、面皮</x:v>
      </x:c>
      <x:c r="AC9" s="16" t="str">
        <x:v>否</x:v>
      </x:c>
      <x:c r="AD9" s="16" t="str">
        <x:v>鸡蛋炒牛肉馄饨，口味温和，价格友好。</x:v>
      </x:c>
      <x:c r="AE9" s="16" t="str">
        <x:v>牛肉馄饨、鸡蛋、青菜</x:v>
      </x:c>
      <x:c r="AF9" s="16" t="str">
        <x:v>加牛肉酱</x:v>
      </x:c>
      <x:c r="AG9" s="16" t="str">
        <x:v>鸡蛋炒牛肉馄饨：鸡蛋炒牛肉馄饨，口味温和，价格友好。 售价19.9元，规格牛肉馄饨12个+鸡蛋，适合一个人吃饭,孩子吃，口味正常/不辣。</x:v>
      </x:c>
      <x:c r="AH9" s="16" t="str">
        <x:v>测试低价产品</x:v>
      </x:c>
    </x:row>
    <x:row r="10">
      <x:c r="A10" s="16" t="str">
        <x:v>P009</x:v>
      </x:c>
      <x:c r="B10" s="16" t="str">
        <x:v>湘式和牛炒意面</x:v>
      </x:c>
      <x:c r="C10" s="16" t="str">
        <x:v>主食饭面</x:v>
      </x:c>
      <x:c r="D10" s="16" t="str">
        <x:v>炒面</x:v>
      </x:c>
      <x:c r="E10" s="16" t="str">
        <x:v>否</x:v>
      </x:c>
      <x:c r="F10" s="18" t="n">
        <x:v>24.9</x:v>
      </x:c>
      <x:c r="G10" s="18" t="n">
        <x:v>13.2</x:v>
      </x:c>
      <x:c r="H10" s="20" t="n">
        <x:f>IFERROR((F10-G10)/F10,0)</x:f>
        <x:v>0.46987951807228917</x:v>
      </x:c>
      <x:c r="I10" s="16" t="str">
        <x:v>意面260g</x:v>
      </x:c>
      <x:c r="J10" s="16" t="str">
        <x:v>份</x:v>
      </x:c>
      <x:c r="K10" s="22" t="n">
        <x:v>1</x:v>
      </x:c>
      <x:c r="L10" s="22" t="n">
        <x:v>1</x:v>
      </x:c>
      <x:c r="M10" s="22" t="n">
        <x:v>20</x:v>
      </x:c>
      <x:c r="N10" s="22" t="n">
        <x:v>35</x:v>
      </x:c>
      <x:c r="O10" s="22" t="n">
        <x:v>34</x:v>
      </x:c>
      <x:c r="P10" s="22" t="str">
        <x:v>上架</x:v>
      </x:c>
      <x:c r="Q10" s="22" t="n">
        <x:v>7</x:v>
      </x:c>
      <x:c r="R10" s="22" t="n">
        <x:v>6</x:v>
      </x:c>
      <x:c r="S10" s="16" t="str">
        <x:v>是</x:v>
      </x:c>
      <x:c r="T10" s="16" t="str">
        <x:v>是</x:v>
      </x:c>
      <x:c r="U10" s="16" t="str">
        <x:v>是</x:v>
      </x:c>
      <x:c r="V10" s="16" t="str">
        <x:v>重口味</x:v>
      </x:c>
      <x:c r="W10" s="16" t="str">
        <x:v>微辣</x:v>
      </x:c>
      <x:c r="X10" s="16" t="str">
        <x:v>想吃辣解馋,一个人吃饭</x:v>
      </x:c>
      <x:c r="Y10" s="16" t="str">
        <x:v>年轻顾客,爱吃面食人群</x:v>
      </x:c>
      <x:c r="Z10" s="16" t="str">
        <x:v>孩子,不吃辣人群</x:v>
      </x:c>
      <x:c r="AA10" s="16" t="str">
        <x:v>主食,香辣</x:v>
      </x:c>
      <x:c r="AB10" s="16" t="str">
        <x:v>含麸质、辣椒</x:v>
      </x:c>
      <x:c r="AC10" s="16" t="str">
        <x:v>否</x:v>
      </x:c>
      <x:c r="AD10" s="16" t="str">
        <x:v>意面配和牛碎肉，湘式香辣口味。</x:v>
      </x:c>
      <x:c r="AE10" s="16" t="str">
        <x:v>意面、和牛碎肉、辣椒</x:v>
      </x:c>
      <x:c r="AF10" s="16" t="str">
        <x:v>加UFO汉堡</x:v>
      </x:c>
      <x:c r="AG10" s="16" t="str">
        <x:v>湘式和牛炒意面：意面配和牛碎肉，湘式香辣口味。 售价24.9元，规格意面260g，适合想吃辣解馋,一个人吃饭，口味重口味/微辣。</x:v>
      </x:c>
      <x:c r="AH10" s="16" t="str">
        <x:v>测试面食</x:v>
      </x:c>
    </x:row>
    <x:row r="11">
      <x:c r="A11" s="16" t="str">
        <x:v>P010</x:v>
      </x:c>
      <x:c r="B11" s="16" t="str">
        <x:v>纯血和牛蛋白饭</x:v>
      </x:c>
      <x:c r="C11" s="16" t="str">
        <x:v>主食饭面</x:v>
      </x:c>
      <x:c r="D11" s="16" t="str">
        <x:v>盖饭</x:v>
      </x:c>
      <x:c r="E11" s="16" t="str">
        <x:v>否</x:v>
      </x:c>
      <x:c r="F11" s="18" t="n">
        <x:v>49.9</x:v>
      </x:c>
      <x:c r="G11" s="18" t="n">
        <x:v>30</x:v>
      </x:c>
      <x:c r="H11" s="20" t="n">
        <x:f>IFERROR((F11-G11)/F11,0)</x:f>
        <x:v>0.39879759519038077</x:v>
      </x:c>
      <x:c r="I11" s="16" t="str">
        <x:v>熟和牛100g+米饭+煎蛋</x:v>
      </x:c>
      <x:c r="J11" s="16" t="str">
        <x:v>份</x:v>
      </x:c>
      <x:c r="K11" s="22" t="n">
        <x:v>1</x:v>
      </x:c>
      <x:c r="L11" s="22" t="n">
        <x:v>1</x:v>
      </x:c>
      <x:c r="M11" s="22" t="n">
        <x:v>45</x:v>
      </x:c>
      <x:c r="N11" s="22" t="n">
        <x:v>65</x:v>
      </x:c>
      <x:c r="O11" s="22" t="n">
        <x:v>18</x:v>
      </x:c>
      <x:c r="P11" s="22" t="str">
        <x:v>上架</x:v>
      </x:c>
      <x:c r="Q11" s="22" t="n">
        <x:v>9</x:v>
      </x:c>
      <x:c r="R11" s="22" t="n">
        <x:v>7</x:v>
      </x:c>
      <x:c r="S11" s="16" t="str">
        <x:v>是</x:v>
      </x:c>
      <x:c r="T11" s="16" t="str">
        <x:v>是</x:v>
      </x:c>
      <x:c r="U11" s="16" t="str">
        <x:v>是</x:v>
      </x:c>
      <x:c r="V11" s="16" t="str">
        <x:v>清淡</x:v>
      </x:c>
      <x:c r="W11" s="16" t="str">
        <x:v>不辣</x:v>
      </x:c>
      <x:c r="X11" s="16" t="str">
        <x:v>减脂高蛋白,正常吃饭</x:v>
      </x:c>
      <x:c r="Y11" s="16" t="str">
        <x:v>高客单顾客,减脂人群</x:v>
      </x:c>
      <x:c r="Z11" s="16" t="str">
        <x:v>预算低顾客</x:v>
      </x:c>
      <x:c r="AA11" s="16" t="str">
        <x:v>高蛋白,和牛</x:v>
      </x:c>
      <x:c r="AB11" s="16" t="str">
        <x:v>含鸡蛋</x:v>
      </x:c>
      <x:c r="AC11" s="16" t="str">
        <x:v>否</x:v>
      </x:c>
      <x:c r="AD11" s="16" t="str">
        <x:v>熟和牛配米饭和煎蛋，突出高品质蛋白。</x:v>
      </x:c>
      <x:c r="AE11" s="16" t="str">
        <x:v>熟和牛、米饭、煎蛋、蔬菜</x:v>
      </x:c>
      <x:c r="AF11" s="16" t="str">
        <x:v>加牛肉丸汤</x:v>
      </x:c>
      <x:c r="AG11" s="16" t="str">
        <x:v>纯血和牛蛋白饭：熟和牛配米饭和煎蛋，突出高品质蛋白。 售价49.9元，规格熟和牛100g+米饭+煎蛋，适合减脂高蛋白,正常吃饭，口味清淡/不辣。</x:v>
      </x:c>
      <x:c r="AH11" s="16" t="str">
        <x:v>测试高客单单品</x:v>
      </x:c>
    </x:row>
    <x:row r="12">
      <x:c r="A12" s="16" t="str">
        <x:v>P011</x:v>
      </x:c>
      <x:c r="B12" s="16" t="str">
        <x:v>牛肉丸清汤</x:v>
      </x:c>
      <x:c r="C12" s="16" t="str">
        <x:v>汤品</x:v>
      </x:c>
      <x:c r="D12" s="16" t="str">
        <x:v>汤</x:v>
      </x:c>
      <x:c r="E12" s="16" t="str">
        <x:v>否</x:v>
      </x:c>
      <x:c r="F12" s="18" t="n">
        <x:v>12.9</x:v>
      </x:c>
      <x:c r="G12" s="18" t="n">
        <x:v>6</x:v>
      </x:c>
      <x:c r="H12" s="20" t="n">
        <x:f>IFERROR((F12-G12)/F12,0)</x:f>
        <x:v>0.5348837209302326</x:v>
      </x:c>
      <x:c r="I12" s="16" t="str">
        <x:v>牛肉丸5颗</x:v>
      </x:c>
      <x:c r="J12" s="16" t="str">
        <x:v>碗</x:v>
      </x:c>
      <x:c r="K12" s="22" t="n">
        <x:v>1</x:v>
      </x:c>
      <x:c r="L12" s="22" t="n">
        <x:v>1</x:v>
      </x:c>
      <x:c r="M12" s="22" t="n">
        <x:v>10</x:v>
      </x:c>
      <x:c r="N12" s="22" t="n">
        <x:v>25</x:v>
      </x:c>
      <x:c r="O12" s="22" t="n">
        <x:v>80</x:v>
      </x:c>
      <x:c r="P12" s="22" t="str">
        <x:v>上架</x:v>
      </x:c>
      <x:c r="Q12" s="22" t="n">
        <x:v>6</x:v>
      </x:c>
      <x:c r="R12" s="22" t="n">
        <x:v>3</x:v>
      </x:c>
      <x:c r="S12" s="16" t="str">
        <x:v>是</x:v>
      </x:c>
      <x:c r="T12" s="16" t="str">
        <x:v>是</x:v>
      </x:c>
      <x:c r="U12" s="16" t="str">
        <x:v>是</x:v>
      </x:c>
      <x:c r="V12" s="16" t="str">
        <x:v>清淡</x:v>
      </x:c>
      <x:c r="W12" s="16" t="str">
        <x:v>不辣</x:v>
      </x:c>
      <x:c r="X12" s="16" t="str">
        <x:v>孩子吃,加购</x:v>
      </x:c>
      <x:c r="Y12" s="16" t="str">
        <x:v>孩子,老人,搭配主食顾客</x:v>
      </x:c>
      <x:c r="Z12" s="16" t="str">
        <x:v>不吃丸类人群</x:v>
      </x:c>
      <x:c r="AA12" s="16" t="str">
        <x:v>不辣,汤品</x:v>
      </x:c>
      <x:c r="AB12" s="16" t="str">
        <x:v>可能含淀粉</x:v>
      </x:c>
      <x:c r="AC12" s="16" t="str">
        <x:v>否</x:v>
      </x:c>
      <x:c r="AD12" s="16" t="str">
        <x:v>清汤牛肉丸，适合搭配饭类。</x:v>
      </x:c>
      <x:c r="AE12" s="16" t="str">
        <x:v>牛肉丸、清汤、青菜</x:v>
      </x:c>
      <x:c r="AF12" s="16" t="str">
        <x:v>搭配盖饭</x:v>
      </x:c>
      <x:c r="AG12" s="16" t="str">
        <x:v>牛肉丸清汤：清汤牛肉丸，适合搭配饭类。 售价12.9元，规格牛肉丸5颗，适合孩子吃,加购，口味清淡/不辣。</x:v>
      </x:c>
      <x:c r="AH12" s="16" t="str">
        <x:v>测试加购汤</x:v>
      </x:c>
    </x:row>
    <x:row r="13">
      <x:c r="A13" s="16" t="str">
        <x:v>P012</x:v>
      </x:c>
      <x:c r="B13" s="16" t="str">
        <x:v>番茄牛肉丸汤</x:v>
      </x:c>
      <x:c r="C13" s="16" t="str">
        <x:v>汤品</x:v>
      </x:c>
      <x:c r="D13" s="16" t="str">
        <x:v>汤</x:v>
      </x:c>
      <x:c r="E13" s="16" t="str">
        <x:v>否</x:v>
      </x:c>
      <x:c r="F13" s="18" t="n">
        <x:v>15.9</x:v>
      </x:c>
      <x:c r="G13" s="18" t="n">
        <x:v>7.8</x:v>
      </x:c>
      <x:c r="H13" s="20" t="n">
        <x:f>IFERROR((F13-G13)/F13,0)</x:f>
        <x:v>0.509433962264151</x:v>
      </x:c>
      <x:c r="I13" s="16" t="str">
        <x:v>牛肉丸5颗+番茄汤</x:v>
      </x:c>
      <x:c r="J13" s="16" t="str">
        <x:v>碗</x:v>
      </x:c>
      <x:c r="K13" s="22" t="n">
        <x:v>1</x:v>
      </x:c>
      <x:c r="L13" s="22" t="n">
        <x:v>1</x:v>
      </x:c>
      <x:c r="M13" s="22" t="n">
        <x:v>12</x:v>
      </x:c>
      <x:c r="N13" s="22" t="n">
        <x:v>28</x:v>
      </x:c>
      <x:c r="O13" s="22" t="n">
        <x:v>56</x:v>
      </x:c>
      <x:c r="P13" s="22" t="str">
        <x:v>上架</x:v>
      </x:c>
      <x:c r="Q13" s="22" t="n">
        <x:v>6</x:v>
      </x:c>
      <x:c r="R13" s="22" t="n">
        <x:v>4</x:v>
      </x:c>
      <x:c r="S13" s="16" t="str">
        <x:v>是</x:v>
      </x:c>
      <x:c r="T13" s="16" t="str">
        <x:v>是</x:v>
      </x:c>
      <x:c r="U13" s="16" t="str">
        <x:v>是</x:v>
      </x:c>
      <x:c r="V13" s="16" t="str">
        <x:v>正常</x:v>
      </x:c>
      <x:c r="W13" s="16" t="str">
        <x:v>不辣</x:v>
      </x:c>
      <x:c r="X13" s="16" t="str">
        <x:v>孩子吃,加购</x:v>
      </x:c>
      <x:c r="Y13" s="16" t="str">
        <x:v>孩子,不吃辣人群</x:v>
      </x:c>
      <x:c r="Z13" s="16" t="str">
        <x:v>不吃番茄人群</x:v>
      </x:c>
      <x:c r="AA13" s="16" t="str">
        <x:v>汤品,不辣</x:v>
      </x:c>
      <x:c r="AB13" s="16" t="str">
        <x:v>番茄风味</x:v>
      </x:c>
      <x:c r="AC13" s="16" t="str">
        <x:v>否</x:v>
      </x:c>
      <x:c r="AD13" s="16" t="str">
        <x:v>番茄汤底酸甜温和，适合配主食。</x:v>
      </x:c>
      <x:c r="AE13" s="16" t="str">
        <x:v>牛肉丸、番茄、青菜</x:v>
      </x:c>
      <x:c r="AF13" s="16" t="str">
        <x:v>搭配牛肉饭</x:v>
      </x:c>
      <x:c r="AG13" s="16" t="str">
        <x:v>番茄牛肉丸汤：番茄汤底酸甜温和，适合配主食。 售价15.9元，规格牛肉丸5颗+番茄汤，适合孩子吃,加购，口味正常/不辣。</x:v>
      </x:c>
      <x:c r="AH13" s="16" t="str">
        <x:v>测试汤品</x:v>
      </x:c>
    </x:row>
    <x:row r="14">
      <x:c r="A14" s="16" t="str">
        <x:v>P013</x:v>
      </x:c>
      <x:c r="B14" s="16" t="str">
        <x:v>麻辣手撕牛肉</x:v>
      </x:c>
      <x:c r="C14" s="16" t="str">
        <x:v>熟食小吃</x:v>
      </x:c>
      <x:c r="D14" s="16" t="str">
        <x:v>麻辣熟食</x:v>
      </x:c>
      <x:c r="E14" s="16" t="str">
        <x:v>否</x:v>
      </x:c>
      <x:c r="F14" s="18" t="n">
        <x:v>39.9</x:v>
      </x:c>
      <x:c r="G14" s="18" t="n">
        <x:v>21</x:v>
      </x:c>
      <x:c r="H14" s="20" t="n">
        <x:f>IFERROR((F14-G14)/F14,0)</x:f>
        <x:v>0.47368421052631576</x:v>
      </x:c>
      <x:c r="I14" s="16" t="str">
        <x:v>150g</x:v>
      </x:c>
      <x:c r="J14" s="16" t="str">
        <x:v>盒</x:v>
      </x:c>
      <x:c r="K14" s="22" t="n">
        <x:v>1</x:v>
      </x:c>
      <x:c r="L14" s="22" t="n">
        <x:v>2</x:v>
      </x:c>
      <x:c r="M14" s="22" t="n">
        <x:v>35</x:v>
      </x:c>
      <x:c r="N14" s="22" t="n">
        <x:v>60</x:v>
      </x:c>
      <x:c r="O14" s="22" t="n">
        <x:v>30</x:v>
      </x:c>
      <x:c r="P14" s="22" t="str">
        <x:v>上架</x:v>
      </x:c>
      <x:c r="Q14" s="22" t="n">
        <x:v>9</x:v>
      </x:c>
      <x:c r="R14" s="22" t="n">
        <x:v>2</x:v>
      </x:c>
      <x:c r="S14" s="16" t="str">
        <x:v>是</x:v>
      </x:c>
      <x:c r="T14" s="16" t="str">
        <x:v>是</x:v>
      </x:c>
      <x:c r="U14" s="16" t="str">
        <x:v>是</x:v>
      </x:c>
      <x:c r="V14" s="16" t="str">
        <x:v>重口味</x:v>
      </x:c>
      <x:c r="W14" s="16" t="str">
        <x:v>麻辣</x:v>
      </x:c>
      <x:c r="X14" s="16" t="str">
        <x:v>想吃辣解馋,下酒</x:v>
      </x:c>
      <x:c r="Y14" s="16" t="str">
        <x:v>爱吃辣人群,下酒人群</x:v>
      </x:c>
      <x:c r="Z14" s="16" t="str">
        <x:v>孩子,不吃辣人群</x:v>
      </x:c>
      <x:c r="AA14" s="16" t="str">
        <x:v>麻辣,即食</x:v>
      </x:c>
      <x:c r="AB14" s="16" t="str">
        <x:v>含辣椒、花椒</x:v>
      </x:c>
      <x:c r="AC14" s="16" t="str">
        <x:v>否</x:v>
      </x:c>
      <x:c r="AD14" s="16" t="str">
        <x:v>麻辣手撕牛肉，肉感足，适合解馋。</x:v>
      </x:c>
      <x:c r="AE14" s="16" t="str">
        <x:v>牛肉、辣椒、花椒、菜籽油</x:v>
      </x:c>
      <x:c r="AF14" s="16" t="str">
        <x:v>加牛肉酱</x:v>
      </x:c>
      <x:c r="AG14" s="16" t="str">
        <x:v>麻辣手撕牛肉：麻辣手撕牛肉，肉感足，适合解馋。 售价39.9元，规格150g，适合想吃辣解馋,下酒，口味重口味/麻辣。</x:v>
      </x:c>
      <x:c r="AH14" s="16" t="str">
        <x:v>测试麻辣熟食</x:v>
      </x:c>
    </x:row>
    <x:row r="15">
      <x:c r="A15" s="16" t="str">
        <x:v>P014</x:v>
      </x:c>
      <x:c r="B15" s="16" t="str">
        <x:v>大块牙签牛肉</x:v>
      </x:c>
      <x:c r="C15" s="16" t="str">
        <x:v>熟食小吃</x:v>
      </x:c>
      <x:c r="D15" s="16" t="str">
        <x:v>麻辣熟食</x:v>
      </x:c>
      <x:c r="E15" s="16" t="str">
        <x:v>否</x:v>
      </x:c>
      <x:c r="F15" s="18" t="n">
        <x:v>29.9</x:v>
      </x:c>
      <x:c r="G15" s="18" t="n">
        <x:v>15.8</x:v>
      </x:c>
      <x:c r="H15" s="20" t="n">
        <x:f>IFERROR((F15-G15)/F15,0)</x:f>
        <x:v>0.471571906354515</x:v>
      </x:c>
      <x:c r="I15" s="16" t="str">
        <x:v>200g</x:v>
      </x:c>
      <x:c r="J15" s="16" t="str">
        <x:v>盒</x:v>
      </x:c>
      <x:c r="K15" s="22" t="n">
        <x:v>1</x:v>
      </x:c>
      <x:c r="L15" s="22" t="n">
        <x:v>2</x:v>
      </x:c>
      <x:c r="M15" s="22" t="n">
        <x:v>25</x:v>
      </x:c>
      <x:c r="N15" s="22" t="n">
        <x:v>50</x:v>
      </x:c>
      <x:c r="O15" s="22" t="n">
        <x:v>42</x:v>
      </x:c>
      <x:c r="P15" s="22" t="str">
        <x:v>上架</x:v>
      </x:c>
      <x:c r="Q15" s="22" t="n">
        <x:v>10</x:v>
      </x:c>
      <x:c r="R15" s="22" t="n">
        <x:v>2</x:v>
      </x:c>
      <x:c r="S15" s="16" t="str">
        <x:v>是</x:v>
      </x:c>
      <x:c r="T15" s="16" t="str">
        <x:v>是</x:v>
      </x:c>
      <x:c r="U15" s="16" t="str">
        <x:v>是</x:v>
      </x:c>
      <x:c r="V15" s="16" t="str">
        <x:v>重口味</x:v>
      </x:c>
      <x:c r="W15" s="16" t="str">
        <x:v>麻辣</x:v>
      </x:c>
      <x:c r="X15" s="16" t="str">
        <x:v>想吃辣解馋,直播爆品</x:v>
      </x:c>
      <x:c r="Y15" s="16" t="str">
        <x:v>爱吃辣人群,年轻顾客</x:v>
      </x:c>
      <x:c r="Z15" s="16" t="str">
        <x:v>孩子,不吃辣人群</x:v>
      </x:c>
      <x:c r="AA15" s="16" t="str">
        <x:v>麻辣,即食</x:v>
      </x:c>
      <x:c r="AB15" s="16" t="str">
        <x:v>含辣椒、花椒</x:v>
      </x:c>
      <x:c r="AC15" s="16" t="str">
        <x:v>否</x:v>
      </x:c>
      <x:c r="AD15" s="16" t="str">
        <x:v>大块牙签牛肉，适合零食和下酒。</x:v>
      </x:c>
      <x:c r="AE15" s="16" t="str">
        <x:v>整块牛肉切块、辣椒、花椒</x:v>
      </x:c>
      <x:c r="AF15" s="16" t="str">
        <x:v>加清汤解辣</x:v>
      </x:c>
      <x:c r="AG15" s="16" t="str">
        <x:v>大块牙签牛肉：大块牙签牛肉，适合零食和下酒。 售价29.9元，规格200g，适合想吃辣解馋,直播爆品，口味重口味/麻辣。</x:v>
      </x:c>
      <x:c r="AH15" s="16" t="str">
        <x:v>测试爆品权重</x:v>
      </x:c>
    </x:row>
    <x:row r="16">
      <x:c r="A16" s="16" t="str">
        <x:v>P015</x:v>
      </x:c>
      <x:c r="B16" s="16" t="str">
        <x:v>微辣牛肉条</x:v>
      </x:c>
      <x:c r="C16" s="16" t="str">
        <x:v>熟食小吃</x:v>
      </x:c>
      <x:c r="D16" s="16" t="str">
        <x:v>微辣熟食</x:v>
      </x:c>
      <x:c r="E16" s="16" t="str">
        <x:v>否</x:v>
      </x:c>
      <x:c r="F16" s="18" t="n">
        <x:v>33.9</x:v>
      </x:c>
      <x:c r="G16" s="18" t="n">
        <x:v>18</x:v>
      </x:c>
      <x:c r="H16" s="20" t="n">
        <x:f>IFERROR((F16-G16)/F16,0)</x:f>
        <x:v>0.4690265486725663</x:v>
      </x:c>
      <x:c r="I16" s="16" t="str">
        <x:v>160g</x:v>
      </x:c>
      <x:c r="J16" s="16" t="str">
        <x:v>盒</x:v>
      </x:c>
      <x:c r="K16" s="22" t="n">
        <x:v>1</x:v>
      </x:c>
      <x:c r="L16" s="22" t="n">
        <x:v>2</x:v>
      </x:c>
      <x:c r="M16" s="22" t="n">
        <x:v>30</x:v>
      </x:c>
      <x:c r="N16" s="22" t="n">
        <x:v>55</x:v>
      </x:c>
      <x:c r="O16" s="22" t="n">
        <x:v>28</x:v>
      </x:c>
      <x:c r="P16" s="22" t="str">
        <x:v>上架</x:v>
      </x:c>
      <x:c r="Q16" s="22" t="n">
        <x:v>7</x:v>
      </x:c>
      <x:c r="R16" s="22" t="n">
        <x:v>2</x:v>
      </x:c>
      <x:c r="S16" s="16" t="str">
        <x:v>是</x:v>
      </x:c>
      <x:c r="T16" s="16" t="str">
        <x:v>是</x:v>
      </x:c>
      <x:c r="U16" s="16" t="str">
        <x:v>是</x:v>
      </x:c>
      <x:c r="V16" s="16" t="str">
        <x:v>正常</x:v>
      </x:c>
      <x:c r="W16" s="16" t="str">
        <x:v>微辣</x:v>
      </x:c>
      <x:c r="X16" s="16" t="str">
        <x:v>想吃辣解馋</x:v>
      </x:c>
      <x:c r="Y16" s="16" t="str">
        <x:v>微辣人群,不想太辣顾客</x:v>
      </x:c>
      <x:c r="Z16" s="16" t="str">
        <x:v>完全不吃辣人群</x:v>
      </x:c>
      <x:c r="AA16" s="16" t="str">
        <x:v>微辣,即食</x:v>
      </x:c>
      <x:c r="AB16" s="16" t="str">
        <x:v>含辣椒</x:v>
      </x:c>
      <x:c r="AC16" s="16" t="str">
        <x:v>否</x:v>
      </x:c>
      <x:c r="AD16" s="16" t="str">
        <x:v>微辣牛肉条，辣度低于麻辣系列。</x:v>
      </x:c>
      <x:c r="AE16" s="16" t="str">
        <x:v>牛肉条、香辛料</x:v>
      </x:c>
      <x:c r="AF16" s="16" t="str">
        <x:v>加牛肉丸汤</x:v>
      </x:c>
      <x:c r="AG16" s="16" t="str">
        <x:v>微辣牛肉条：微辣牛肉条，辣度低于麻辣系列。 售价33.9元，规格160g，适合想吃辣解馋，口味正常/微辣。</x:v>
      </x:c>
      <x:c r="AH16" s="16" t="str">
        <x:v>测试辣度区分</x:v>
      </x:c>
    </x:row>
    <x:row r="17">
      <x:c r="A17" s="16" t="str">
        <x:v>P016</x:v>
      </x:c>
      <x:c r="B17" s="16" t="str">
        <x:v>酱香卤牛肋条</x:v>
      </x:c>
      <x:c r="C17" s="16" t="str">
        <x:v>熟食小吃</x:v>
      </x:c>
      <x:c r="D17" s="16" t="str">
        <x:v>卤味</x:v>
      </x:c>
      <x:c r="E17" s="16" t="str">
        <x:v>否</x:v>
      </x:c>
      <x:c r="F17" s="18" t="n">
        <x:v>45.9</x:v>
      </x:c>
      <x:c r="G17" s="18" t="n">
        <x:v>27</x:v>
      </x:c>
      <x:c r="H17" s="20" t="n">
        <x:f>IFERROR((F17-G17)/F17,0)</x:f>
        <x:v>0.4117647058823529</x:v>
      </x:c>
      <x:c r="I17" s="16" t="str">
        <x:v>180g</x:v>
      </x:c>
      <x:c r="J17" s="16" t="str">
        <x:v>盒</x:v>
      </x:c>
      <x:c r="K17" s="22" t="n">
        <x:v>1</x:v>
      </x:c>
      <x:c r="L17" s="22" t="n">
        <x:v>2</x:v>
      </x:c>
      <x:c r="M17" s="22" t="n">
        <x:v>40</x:v>
      </x:c>
      <x:c r="N17" s="22" t="n">
        <x:v>70</x:v>
      </x:c>
      <x:c r="O17" s="22" t="n">
        <x:v>16</x:v>
      </x:c>
      <x:c r="P17" s="22" t="str">
        <x:v>上架</x:v>
      </x:c>
      <x:c r="Q17" s="22" t="n">
        <x:v>7</x:v>
      </x:c>
      <x:c r="R17" s="22" t="n">
        <x:v>4</x:v>
      </x:c>
      <x:c r="S17" s="16" t="str">
        <x:v>是</x:v>
      </x:c>
      <x:c r="T17" s="16" t="str">
        <x:v>是</x:v>
      </x:c>
      <x:c r="U17" s="16" t="str">
        <x:v>是</x:v>
      </x:c>
      <x:c r="V17" s="16" t="str">
        <x:v>正常</x:v>
      </x:c>
      <x:c r="W17" s="16" t="str">
        <x:v>不辣</x:v>
      </x:c>
      <x:c r="X17" s="16" t="str">
        <x:v>正常吃饭,家庭备餐</x:v>
      </x:c>
      <x:c r="Y17" s="16" t="str">
        <x:v>不吃辣人群,家庭</x:v>
      </x:c>
      <x:c r="Z17" s="16" t="str">
        <x:v>严格低脂人群</x:v>
      </x:c>
      <x:c r="AA17" s="16" t="str">
        <x:v>酱香,即食</x:v>
      </x:c>
      <x:c r="AB17" s="16" t="str">
        <x:v>脂肪略高</x:v>
      </x:c>
      <x:c r="AC17" s="16" t="str">
        <x:v>是</x:v>
      </x:c>
      <x:c r="AD17" s="16" t="str">
        <x:v>酱香牛肋条，肉香浓，适合配饭或外带。</x:v>
      </x:c>
      <x:c r="AE17" s="16" t="str">
        <x:v>牛肋条、卤汁</x:v>
      </x:c>
      <x:c r="AF17" s="16" t="str">
        <x:v>搭配米饭或青菜</x:v>
      </x:c>
      <x:c r="AG17" s="16" t="str">
        <x:v>酱香卤牛肋条：酱香牛肋条，肉香浓，适合配饭或外带。 售价45.9元，规格180g，适合正常吃饭,家庭备餐，口味正常/不辣。</x:v>
      </x:c>
      <x:c r="AH17" s="16" t="str">
        <x:v>测试较高价熟食</x:v>
      </x:c>
    </x:row>
    <x:row r="18">
      <x:c r="A18" s="16" t="str">
        <x:v>P017</x:v>
      </x:c>
      <x:c r="B18" s="16" t="str">
        <x:v>原切卤牛腱</x:v>
      </x:c>
      <x:c r="C18" s="16" t="str">
        <x:v>熟食小吃</x:v>
      </x:c>
      <x:c r="D18" s="16" t="str">
        <x:v>卤味</x:v>
      </x:c>
      <x:c r="E18" s="16" t="str">
        <x:v>否</x:v>
      </x:c>
      <x:c r="F18" s="18" t="n">
        <x:v>29.9</x:v>
      </x:c>
      <x:c r="G18" s="18" t="n">
        <x:v>17.5</x:v>
      </x:c>
      <x:c r="H18" s="20" t="n">
        <x:f>IFERROR((F18-G18)/F18,0)</x:f>
        <x:v>0.4147157190635451</x:v>
      </x:c>
      <x:c r="I18" s="16" t="str">
        <x:v>150g</x:v>
      </x:c>
      <x:c r="J18" s="16" t="str">
        <x:v>包</x:v>
      </x:c>
      <x:c r="K18" s="22" t="n">
        <x:v>1</x:v>
      </x:c>
      <x:c r="L18" s="22" t="n">
        <x:v>1</x:v>
      </x:c>
      <x:c r="M18" s="22" t="n">
        <x:v>25</x:v>
      </x:c>
      <x:c r="N18" s="22" t="n">
        <x:v>45</x:v>
      </x:c>
      <x:c r="O18" s="22" t="n">
        <x:v>45</x:v>
      </x:c>
      <x:c r="P18" s="22" t="str">
        <x:v>上架</x:v>
      </x:c>
      <x:c r="Q18" s="22" t="n">
        <x:v>9</x:v>
      </x:c>
      <x:c r="R18" s="22" t="n">
        <x:v>2</x:v>
      </x:c>
      <x:c r="S18" s="16" t="str">
        <x:v>是</x:v>
      </x:c>
      <x:c r="T18" s="16" t="str">
        <x:v>是</x:v>
      </x:c>
      <x:c r="U18" s="16" t="str">
        <x:v>是</x:v>
      </x:c>
      <x:c r="V18" s="16" t="str">
        <x:v>清淡</x:v>
      </x:c>
      <x:c r="W18" s="16" t="str">
        <x:v>不辣</x:v>
      </x:c>
      <x:c r="X18" s="16" t="str">
        <x:v>减脂高蛋白,家庭备餐</x:v>
      </x:c>
      <x:c r="Y18" s="16" t="str">
        <x:v>减脂人群,家庭备餐</x:v>
      </x:c>
      <x:c r="Z18" s="16" t="str">
        <x:v>重口味人群</x:v>
      </x:c>
      <x:c r="AA18" s="16" t="str">
        <x:v>高蛋白,即食</x:v>
      </x:c>
      <x:c r="AB18" s="16" t="str">
        <x:v>无</x:v>
      </x:c>
      <x:c r="AC18" s="16" t="str">
        <x:v>否</x:v>
      </x:c>
      <x:c r="AD18" s="16" t="str">
        <x:v>原切卤牛腱，口味清爽，适合直接吃。</x:v>
      </x:c>
      <x:c r="AE18" s="16" t="str">
        <x:v>牛腱、卤汁</x:v>
      </x:c>
      <x:c r="AF18" s="16" t="str">
        <x:v>加蔬菜或汤</x:v>
      </x:c>
      <x:c r="AG18" s="16" t="str">
        <x:v>原切卤牛腱：原切卤牛腱，口味清爽，适合直接吃。 售价29.9元，规格150g，适合减脂高蛋白,家庭备餐，口味清淡/不辣。</x:v>
      </x:c>
      <x:c r="AH18" s="16" t="str">
        <x:v>测试熟食备餐</x:v>
      </x:c>
    </x:row>
    <x:row r="19">
      <x:c r="A19" s="16" t="str">
        <x:v>P018</x:v>
      </x:c>
      <x:c r="B19" s="16" t="str">
        <x:v>牛肉酱拌饭瓶</x:v>
      </x:c>
      <x:c r="C19" s="16" t="str">
        <x:v>熟食小吃</x:v>
      </x:c>
      <x:c r="D19" s="16" t="str">
        <x:v>酱料</x:v>
      </x:c>
      <x:c r="E19" s="16" t="str">
        <x:v>否</x:v>
      </x:c>
      <x:c r="F19" s="18" t="n">
        <x:v>22.9</x:v>
      </x:c>
      <x:c r="G19" s="18" t="n">
        <x:v>10</x:v>
      </x:c>
      <x:c r="H19" s="20" t="n">
        <x:f>IFERROR((F19-G19)/F19,0)</x:f>
        <x:v>0.5633187772925764</x:v>
      </x:c>
      <x:c r="I19" s="16" t="str">
        <x:v>180g/瓶</x:v>
      </x:c>
      <x:c r="J19" s="16" t="str">
        <x:v>瓶</x:v>
      </x:c>
      <x:c r="K19" s="22" t="n">
        <x:v>1</x:v>
      </x:c>
      <x:c r="L19" s="22" t="n">
        <x:v>4</x:v>
      </x:c>
      <x:c r="M19" s="22" t="n">
        <x:v>20</x:v>
      </x:c>
      <x:c r="N19" s="22" t="n">
        <x:v>40</x:v>
      </x:c>
      <x:c r="O19" s="22" t="n">
        <x:v>70</x:v>
      </x:c>
      <x:c r="P19" s="22" t="str">
        <x:v>上架</x:v>
      </x:c>
      <x:c r="Q19" s="22" t="n">
        <x:v>8</x:v>
      </x:c>
      <x:c r="R19" s="22" t="n">
        <x:v>0</x:v>
      </x:c>
      <x:c r="S19" s="16" t="str">
        <x:v>否</x:v>
      </x:c>
      <x:c r="T19" s="16" t="str">
        <x:v>是</x:v>
      </x:c>
      <x:c r="U19" s="16" t="str">
        <x:v>是</x:v>
      </x:c>
      <x:c r="V19" s="16" t="str">
        <x:v>重口味</x:v>
      </x:c>
      <x:c r="W19" s="16" t="str">
        <x:v>微辣</x:v>
      </x:c>
      <x:c r="X19" s="16" t="str">
        <x:v>加购,家庭备餐,想吃辣解馋</x:v>
      </x:c>
      <x:c r="Y19" s="16" t="str">
        <x:v>家庭备餐,拌饭人群</x:v>
      </x:c>
      <x:c r="Z19" s="16" t="str">
        <x:v>孩子少量,不吃辣人群</x:v>
      </x:c>
      <x:c r="AA19" s="16" t="str">
        <x:v>酱料,下饭</x:v>
      </x:c>
      <x:c r="AB19" s="16" t="str">
        <x:v>含辣椒、豆制品可能</x:v>
      </x:c>
      <x:c r="AC19" s="16" t="str">
        <x:v>否</x:v>
      </x:c>
      <x:c r="AD19" s="16" t="str">
        <x:v>牛肉酱适合拌饭拌面，也适合加购。</x:v>
      </x:c>
      <x:c r="AE19" s="16" t="str">
        <x:v>牛肉粒、辣椒、香菇、酱料</x:v>
      </x:c>
      <x:c r="AF19" s="16" t="str">
        <x:v>搭配水饺或饭类</x:v>
      </x:c>
      <x:c r="AG19" s="16" t="str">
        <x:v>牛肉酱拌饭瓶：牛肉酱适合拌饭拌面，也适合加购。 售价22.9元，规格180g/瓶，适合加购,家庭备餐,想吃辣解馋，口味重口味/微辣。</x:v>
      </x:c>
      <x:c r="AH19" s="16" t="str">
        <x:v>测试加购酱料</x:v>
      </x:c>
    </x:row>
    <x:row r="20">
      <x:c r="A20" s="16" t="str">
        <x:v>P019</x:v>
      </x:c>
      <x:c r="B20" s="16" t="str">
        <x:v>儿童牛肉水饺</x:v>
      </x:c>
      <x:c r="C20" s="16" t="str">
        <x:v>儿童友好</x:v>
      </x:c>
      <x:c r="D20" s="16" t="str">
        <x:v>饺子</x:v>
      </x:c>
      <x:c r="E20" s="16" t="str">
        <x:v>否</x:v>
      </x:c>
      <x:c r="F20" s="18" t="n">
        <x:v>15</x:v>
      </x:c>
      <x:c r="G20" s="18" t="n">
        <x:v>8.2</x:v>
      </x:c>
      <x:c r="H20" s="20" t="n">
        <x:f>IFERROR((F20-G20)/F20,0)</x:f>
        <x:v>0.45333333333333337</x:v>
      </x:c>
      <x:c r="I20" s="16" t="str">
        <x:v>15个/盒</x:v>
      </x:c>
      <x:c r="J20" s="16" t="str">
        <x:v>盒</x:v>
      </x:c>
      <x:c r="K20" s="22" t="n">
        <x:v>1</x:v>
      </x:c>
      <x:c r="L20" s="22" t="n">
        <x:v>2</x:v>
      </x:c>
      <x:c r="M20" s="22" t="n">
        <x:v>15</x:v>
      </x:c>
      <x:c r="N20" s="22" t="n">
        <x:v>30</x:v>
      </x:c>
      <x:c r="O20" s="22" t="n">
        <x:v>90</x:v>
      </x:c>
      <x:c r="P20" s="22" t="str">
        <x:v>上架</x:v>
      </x:c>
      <x:c r="Q20" s="22" t="n">
        <x:v>8</x:v>
      </x:c>
      <x:c r="R20" s="22" t="n">
        <x:v>8</x:v>
      </x:c>
      <x:c r="S20" s="16" t="str">
        <x:v>是</x:v>
      </x:c>
      <x:c r="T20" s="16" t="str">
        <x:v>是</x:v>
      </x:c>
      <x:c r="U20" s="16" t="str">
        <x:v>是</x:v>
      </x:c>
      <x:c r="V20" s="16" t="str">
        <x:v>清淡</x:v>
      </x:c>
      <x:c r="W20" s="16" t="str">
        <x:v>不辣</x:v>
      </x:c>
      <x:c r="X20" s="16" t="str">
        <x:v>孩子吃,家庭备餐</x:v>
      </x:c>
      <x:c r="Y20" s="16" t="str">
        <x:v>孩子,家庭</x:v>
      </x:c>
      <x:c r="Z20" s="16" t="str">
        <x:v>不吃面食人群</x:v>
      </x:c>
      <x:c r="AA20" s="16" t="str">
        <x:v>不辣,冷冻可煮</x:v>
      </x:c>
      <x:c r="AB20" s="16" t="str">
        <x:v>含麸质</x:v>
      </x:c>
      <x:c r="AC20" s="16" t="str">
        <x:v>是</x:v>
      </x:c>
      <x:c r="AD20" s="16" t="str">
        <x:v>儿童友好牛肉水饺，口味清淡。</x:v>
      </x:c>
      <x:c r="AE20" s="16" t="str">
        <x:v>牛肉馅、面皮</x:v>
      </x:c>
      <x:c r="AF20" s="16" t="str">
        <x:v>搭配番茄牛肉丸汤</x:v>
      </x:c>
      <x:c r="AG20" s="16" t="str">
        <x:v>儿童牛肉水饺：儿童友好牛肉水饺，口味清淡。 售价15.0元，规格15个/盒，适合孩子吃,家庭备餐，口味清淡/不辣。</x:v>
      </x:c>
      <x:c r="AH20" s="16" t="str">
        <x:v>测试儿童友好</x:v>
      </x:c>
    </x:row>
    <x:row r="21">
      <x:c r="A21" s="16" t="str">
        <x:v>P020</x:v>
      </x:c>
      <x:c r="B21" s="16" t="str">
        <x:v>迷你牛肉饼</x:v>
      </x:c>
      <x:c r="C21" s="16" t="str">
        <x:v>儿童友好</x:v>
      </x:c>
      <x:c r="D21" s="16" t="str">
        <x:v>牛肉饼</x:v>
      </x:c>
      <x:c r="E21" s="16" t="str">
        <x:v>否</x:v>
      </x:c>
      <x:c r="F21" s="18" t="n">
        <x:v>12</x:v>
      </x:c>
      <x:c r="G21" s="18" t="n">
        <x:v>6.5</x:v>
      </x:c>
      <x:c r="H21" s="20" t="n">
        <x:f>IFERROR((F21-G21)/F21,0)</x:f>
        <x:v>0.4583333333333333</x:v>
      </x:c>
      <x:c r="I21" s="16" t="str">
        <x:v>100g/片</x:v>
      </x:c>
      <x:c r="J21" s="16" t="str">
        <x:v>片</x:v>
      </x:c>
      <x:c r="K21" s="22" t="n">
        <x:v>1</x:v>
      </x:c>
      <x:c r="L21" s="22" t="n">
        <x:v>1</x:v>
      </x:c>
      <x:c r="M21" s="22" t="n">
        <x:v>10</x:v>
      </x:c>
      <x:c r="N21" s="22" t="n">
        <x:v>25</x:v>
      </x:c>
      <x:c r="O21" s="22" t="n">
        <x:v>75</x:v>
      </x:c>
      <x:c r="P21" s="22" t="str">
        <x:v>上架</x:v>
      </x:c>
      <x:c r="Q21" s="22" t="n">
        <x:v>8</x:v>
      </x:c>
      <x:c r="R21" s="22" t="n">
        <x:v>5</x:v>
      </x:c>
      <x:c r="S21" s="16" t="str">
        <x:v>是</x:v>
      </x:c>
      <x:c r="T21" s="16" t="str">
        <x:v>是</x:v>
      </x:c>
      <x:c r="U21" s="16" t="str">
        <x:v>是</x:v>
      </x:c>
      <x:c r="V21" s="16" t="str">
        <x:v>正常</x:v>
      </x:c>
      <x:c r="W21" s="16" t="str">
        <x:v>不辣</x:v>
      </x:c>
      <x:c r="X21" s="16" t="str">
        <x:v>孩子吃,加购</x:v>
      </x:c>
      <x:c r="Y21" s="16" t="str">
        <x:v>孩子,早餐顾客</x:v>
      </x:c>
      <x:c r="Z21" s="16" t="str">
        <x:v>严格减脂人群</x:v>
      </x:c>
      <x:c r="AA21" s="16" t="str">
        <x:v>不辣,可煎</x:v>
      </x:c>
      <x:c r="AB21" s="16" t="str">
        <x:v>含面粉少量可能</x:v>
      </x:c>
      <x:c r="AC21" s="16" t="str">
        <x:v>是</x:v>
      </x:c>
      <x:c r="AD21" s="16" t="str">
        <x:v>迷你牛肉饼，适合孩子早餐或加餐。</x:v>
      </x:c>
      <x:c r="AE21" s="16" t="str">
        <x:v>牛肉馅、饼皮</x:v>
      </x:c>
      <x:c r="AF21" s="16" t="str">
        <x:v>搭配水饺</x:v>
      </x:c>
      <x:c r="AG21" s="16" t="str">
        <x:v>迷你牛肉饼：迷你牛肉饼，适合孩子早餐或加餐。 售价12.0元，规格100g/片，适合孩子吃,加购，口味正常/不辣。</x:v>
      </x:c>
      <x:c r="AH21" s="16" t="str">
        <x:v>测试加购儿童</x:v>
      </x:c>
    </x:row>
    <x:row r="22">
      <x:c r="A22" s="16" t="str">
        <x:v>P021</x:v>
      </x:c>
      <x:c r="B22" s="16" t="str">
        <x:v>儿童成长牛肉小套餐</x:v>
      </x:c>
      <x:c r="C22" s="16" t="str">
        <x:v>家庭套餐</x:v>
      </x:c>
      <x:c r="D22" s="16" t="str">
        <x:v>儿童套餐</x:v>
      </x:c>
      <x:c r="E22" s="16" t="str">
        <x:v>是</x:v>
      </x:c>
      <x:c r="F22" s="18" t="n">
        <x:v>58</x:v>
      </x:c>
      <x:c r="G22" s="18" t="n">
        <x:v>31</x:v>
      </x:c>
      <x:c r="H22" s="20" t="n">
        <x:f>IFERROR((F22-G22)/F22,0)</x:f>
        <x:v>0.46551724137931033</x:v>
      </x:c>
      <x:c r="I22" s="16" t="str">
        <x:v>水饺1盒+牛肉饼2片+牛肉丸汤</x:v>
      </x:c>
      <x:c r="J22" s="16" t="str">
        <x:v>套</x:v>
      </x:c>
      <x:c r="K22" s="22" t="n">
        <x:v>1</x:v>
      </x:c>
      <x:c r="L22" s="22" t="n">
        <x:v>2</x:v>
      </x:c>
      <x:c r="M22" s="22" t="n">
        <x:v>50</x:v>
      </x:c>
      <x:c r="N22" s="22" t="n">
        <x:v>70</x:v>
      </x:c>
      <x:c r="O22" s="22" t="n">
        <x:v>25</x:v>
      </x:c>
      <x:c r="P22" s="22" t="str">
        <x:v>上架</x:v>
      </x:c>
      <x:c r="Q22" s="22" t="n">
        <x:v>9</x:v>
      </x:c>
      <x:c r="R22" s="22" t="n">
        <x:v>10</x:v>
      </x:c>
      <x:c r="S22" s="16" t="str">
        <x:v>是</x:v>
      </x:c>
      <x:c r="T22" s="16" t="str">
        <x:v>是</x:v>
      </x:c>
      <x:c r="U22" s="16" t="str">
        <x:v>是</x:v>
      </x:c>
      <x:c r="V22" s="16" t="str">
        <x:v>清淡</x:v>
      </x:c>
      <x:c r="W22" s="16" t="str">
        <x:v>不辣</x:v>
      </x:c>
      <x:c r="X22" s="16" t="str">
        <x:v>孩子吃,家庭备餐</x:v>
      </x:c>
      <x:c r="Y22" s="16" t="str">
        <x:v>孩子,一大一小</x:v>
      </x:c>
      <x:c r="Z22" s="16" t="str">
        <x:v>爱吃辣人群</x:v>
      </x:c>
      <x:c r="AA22" s="16" t="str">
        <x:v>不辣,套餐</x:v>
      </x:c>
      <x:c r="AB22" s="16" t="str">
        <x:v>含面食、鸡蛋风险视制作</x:v>
      </x:c>
      <x:c r="AC22" s="16" t="str">
        <x:v>是</x:v>
      </x:c>
      <x:c r="AD22" s="16" t="str">
        <x:v>给孩子吃的温和牛肉组合。</x:v>
      </x:c>
      <x:c r="AE22" s="16" t="str">
        <x:v>儿童牛肉水饺、迷你牛肉饼、牛肉丸清汤</x:v>
      </x:c>
      <x:c r="AF22" s="16" t="str">
        <x:v>加牛肉酱给大人</x:v>
      </x:c>
      <x:c r="AG22" s="16" t="str">
        <x:v>儿童成长牛肉小套餐：给孩子吃的温和牛肉组合。 售价58.0元，规格水饺1盒+牛肉饼2片+牛肉丸汤，适合孩子吃,家庭备餐，口味清淡/不辣。</x:v>
      </x:c>
      <x:c r="AH22" s="16" t="str">
        <x:v>测试套餐</x:v>
      </x:c>
    </x:row>
    <x:row r="23">
      <x:c r="A23" s="16" t="str">
        <x:v>P022</x:v>
      </x:c>
      <x:c r="B23" s="16" t="str">
        <x:v>高蛋白减脂四件套</x:v>
      </x:c>
      <x:c r="C23" s="16" t="str">
        <x:v>家庭套餐</x:v>
      </x:c>
      <x:c r="D23" s="16" t="str">
        <x:v>减脂套餐</x:v>
      </x:c>
      <x:c r="E23" s="16" t="str">
        <x:v>是</x:v>
      </x:c>
      <x:c r="F23" s="18" t="n">
        <x:v>88</x:v>
      </x:c>
      <x:c r="G23" s="18" t="n">
        <x:v>49</x:v>
      </x:c>
      <x:c r="H23" s="20" t="n">
        <x:f>IFERROR((F23-G23)/F23,0)</x:f>
        <x:v>0.4431818181818182</x:v>
      </x:c>
      <x:c r="I23" s="16" t="str">
        <x:v>卤牛腱+鸡胸肉+牛筋丸+板腱薄片</x:v>
      </x:c>
      <x:c r="J23" s="16" t="str">
        <x:v>套</x:v>
      </x:c>
      <x:c r="K23" s="22" t="n">
        <x:v>1</x:v>
      </x:c>
      <x:c r="L23" s="22" t="n">
        <x:v>3</x:v>
      </x:c>
      <x:c r="M23" s="22" t="n">
        <x:v>80</x:v>
      </x:c>
      <x:c r="N23" s="22" t="n">
        <x:v>100</x:v>
      </x:c>
      <x:c r="O23" s="22" t="n">
        <x:v>20</x:v>
      </x:c>
      <x:c r="P23" s="22" t="str">
        <x:v>上架</x:v>
      </x:c>
      <x:c r="Q23" s="22" t="n">
        <x:v>10</x:v>
      </x:c>
      <x:c r="R23" s="22" t="n">
        <x:v>0</x:v>
      </x:c>
      <x:c r="S23" s="16" t="str">
        <x:v>否</x:v>
      </x:c>
      <x:c r="T23" s="16" t="str">
        <x:v>是</x:v>
      </x:c>
      <x:c r="U23" s="16" t="str">
        <x:v>是</x:v>
      </x:c>
      <x:c r="V23" s="16" t="str">
        <x:v>清淡</x:v>
      </x:c>
      <x:c r="W23" s="16" t="str">
        <x:v>不辣</x:v>
      </x:c>
      <x:c r="X23" s="16" t="str">
        <x:v>减脂高蛋白,家庭备餐</x:v>
      </x:c>
      <x:c r="Y23" s="16" t="str">
        <x:v>减脂人群,健身人群</x:v>
      </x:c>
      <x:c r="Z23" s="16" t="str">
        <x:v>想吃辣解馋人群</x:v>
      </x:c>
      <x:c r="AA23" s="16" t="str">
        <x:v>高蛋白,低油</x:v>
      </x:c>
      <x:c r="AB23" s="16" t="str">
        <x:v>含牛肉、鸡肉</x:v>
      </x:c>
      <x:c r="AC23" s="16" t="str">
        <x:v>是</x:v>
      </x:c>
      <x:c r="AD23" s="16" t="str">
        <x:v>适合一到三人的高蛋白备餐组合。</x:v>
      </x:c>
      <x:c r="AE23" s="16" t="str">
        <x:v>卤牛腱、鸡胸肉、牛筋丸、板腱薄片</x:v>
      </x:c>
      <x:c r="AF23" s="16" t="str">
        <x:v>加蔬菜包</x:v>
      </x:c>
      <x:c r="AG23" s="16" t="str">
        <x:v>高蛋白减脂四件套：适合一到三人的高蛋白备餐组合。 售价88.0元，规格卤牛腱+鸡胸肉+牛筋丸+板腱薄片，适合减脂高蛋白,家庭备餐，口味清淡/不辣。</x:v>
      </x:c>
      <x:c r="AH23" s="16" t="str">
        <x:v>测试核心套餐</x:v>
      </x:c>
    </x:row>
    <x:row r="24">
      <x:c r="A24" s="16" t="str">
        <x:v>P023</x:v>
      </x:c>
      <x:c r="B24" s="16" t="str">
        <x:v>家庭牛肉火锅备餐包</x:v>
      </x:c>
      <x:c r="C24" s="16" t="str">
        <x:v>家庭套餐</x:v>
      </x:c>
      <x:c r="D24" s="16" t="str">
        <x:v>家庭套餐</x:v>
      </x:c>
      <x:c r="E24" s="16" t="str">
        <x:v>是</x:v>
      </x:c>
      <x:c r="F24" s="18" t="n">
        <x:v>128</x:v>
      </x:c>
      <x:c r="G24" s="18" t="n">
        <x:v>78</x:v>
      </x:c>
      <x:c r="H24" s="20" t="n">
        <x:f>IFERROR((F24-G24)/F24,0)</x:f>
        <x:v>0.390625</x:v>
      </x:c>
      <x:c r="I24" s="16" t="str">
        <x:v>肥牛卷+牛肉丸+蔬菜+蘸料</x:v>
      </x:c>
      <x:c r="J24" s="16" t="str">
        <x:v>套</x:v>
      </x:c>
      <x:c r="K24" s="22" t="n">
        <x:v>3</x:v>
      </x:c>
      <x:c r="L24" s="22" t="n">
        <x:v>4</x:v>
      </x:c>
      <x:c r="M24" s="22" t="n">
        <x:v>120</x:v>
      </x:c>
      <x:c r="N24" s="22" t="n">
        <x:v>160</x:v>
      </x:c>
      <x:c r="O24" s="22" t="n">
        <x:v>12</x:v>
      </x:c>
      <x:c r="P24" s="22" t="str">
        <x:v>上架</x:v>
      </x:c>
      <x:c r="Q24" s="22" t="n">
        <x:v>7</x:v>
      </x:c>
      <x:c r="R24" s="22" t="n">
        <x:v>15</x:v>
      </x:c>
      <x:c r="S24" s="16" t="str">
        <x:v>否</x:v>
      </x:c>
      <x:c r="T24" s="16" t="str">
        <x:v>是</x:v>
      </x:c>
      <x:c r="U24" s="16" t="str">
        <x:v>否</x:v>
      </x:c>
      <x:c r="V24" s="16" t="str">
        <x:v>正常</x:v>
      </x:c>
      <x:c r="W24" s="16" t="str">
        <x:v>可选</x:v>
      </x:c>
      <x:c r="X24" s="16" t="str">
        <x:v>一家人备餐,聚餐</x:v>
      </x:c>
      <x:c r="Y24" s="16" t="str">
        <x:v>家庭,朋友聚餐</x:v>
      </x:c>
      <x:c r="Z24" s="16" t="str">
        <x:v>单人顾客</x:v>
      </x:c>
      <x:c r="AA24" s="16" t="str">
        <x:v>家庭,火锅</x:v>
      </x:c>
      <x:c r="AB24" s="16" t="str">
        <x:v>含蘸料过敏风险</x:v>
      </x:c>
      <x:c r="AC24" s="16" t="str">
        <x:v>是</x:v>
      </x:c>
      <x:c r="AD24" s="16" t="str">
        <x:v>适合3-4人家庭火锅的牛肉备餐包。</x:v>
      </x:c>
      <x:c r="AE24" s="16" t="str">
        <x:v>肥牛卷、牛肉丸、蔬菜、蘸料</x:v>
      </x:c>
      <x:c r="AF24" s="16" t="str">
        <x:v>加牛仔骨</x:v>
      </x:c>
      <x:c r="AG24" s="16" t="str">
        <x:v>家庭牛肉火锅备餐包：适合3-4人家庭火锅的牛肉备餐包。 售价128.0元，规格肥牛卷+牛肉丸+蔬菜+蘸料，适合一家人备餐,聚餐，口味正常/可选。</x:v>
      </x:c>
      <x:c r="AH24" s="16" t="str">
        <x:v>测试家庭场景</x:v>
      </x:c>
    </x:row>
    <x:row r="25">
      <x:c r="A25" s="16" t="str">
        <x:v>P024</x:v>
      </x:c>
      <x:c r="B25" s="16" t="str">
        <x:v>露营烤肉基础包</x:v>
      </x:c>
      <x:c r="C25" s="16" t="str">
        <x:v>家庭套餐</x:v>
      </x:c>
      <x:c r="D25" s="16" t="str">
        <x:v>烤肉套餐</x:v>
      </x:c>
      <x:c r="E25" s="16" t="str">
        <x:v>是</x:v>
      </x:c>
      <x:c r="F25" s="18" t="n">
        <x:v>198</x:v>
      </x:c>
      <x:c r="G25" s="18" t="n">
        <x:v>121</x:v>
      </x:c>
      <x:c r="H25" s="20" t="n">
        <x:f>IFERROR((F25-G25)/F25,0)</x:f>
        <x:v>0.3888888888888889</x:v>
      </x:c>
      <x:c r="I25" s="16" t="str">
        <x:v>烤肉5盒+蘸料+生菜</x:v>
      </x:c>
      <x:c r="J25" s="16" t="str">
        <x:v>套</x:v>
      </x:c>
      <x:c r="K25" s="22" t="n">
        <x:v>3</x:v>
      </x:c>
      <x:c r="L25" s="22" t="n">
        <x:v>5</x:v>
      </x:c>
      <x:c r="M25" s="22" t="n">
        <x:v>180</x:v>
      </x:c>
      <x:c r="N25" s="22" t="n">
        <x:v>230</x:v>
      </x:c>
      <x:c r="O25" s="22" t="n">
        <x:v>8</x:v>
      </x:c>
      <x:c r="P25" s="22" t="str">
        <x:v>上架</x:v>
      </x:c>
      <x:c r="Q25" s="22" t="n">
        <x:v>8</x:v>
      </x:c>
      <x:c r="R25" s="22" t="n">
        <x:v>20</x:v>
      </x:c>
      <x:c r="S25" s="16" t="str">
        <x:v>否</x:v>
      </x:c>
      <x:c r="T25" s="16" t="str">
        <x:v>是</x:v>
      </x:c>
      <x:c r="U25" s="16" t="str">
        <x:v>否</x:v>
      </x:c>
      <x:c r="V25" s="16" t="str">
        <x:v>正常</x:v>
      </x:c>
      <x:c r="W25" s="16" t="str">
        <x:v>可选</x:v>
      </x:c>
      <x:c r="X25" s="16" t="str">
        <x:v>烤肉聚餐,一家人备餐</x:v>
      </x:c>
      <x:c r="Y25" s="16" t="str">
        <x:v>露营,朋友聚餐</x:v>
      </x:c>
      <x:c r="Z25" s="16" t="str">
        <x:v>单人顾客,减脂严格人群</x:v>
      </x:c>
      <x:c r="AA25" s="16" t="str">
        <x:v>烤肉,套餐</x:v>
      </x:c>
      <x:c r="AB25" s="16" t="str">
        <x:v>含蘸料过敏风险</x:v>
      </x:c>
      <x:c r="AC25" s="16" t="str">
        <x:v>是</x:v>
      </x:c>
      <x:c r="AD25" s="16" t="str">
        <x:v>适合3-5人的基础烤肉组合。</x:v>
      </x:c>
      <x:c r="AE25" s="16" t="str">
        <x:v>安格斯板腱、肥牛、牛仔骨、生菜、蘸料</x:v>
      </x:c>
      <x:c r="AF25" s="16" t="str">
        <x:v>加虾或鸡翅</x:v>
      </x:c>
      <x:c r="AG25" s="16" t="str">
        <x:v>露营烤肉基础包：适合3-5人的基础烤肉组合。 售价198.0元，规格烤肉5盒+蘸料+生菜，适合烤肉聚餐,一家人备餐，口味正常/可选。</x:v>
      </x:c>
      <x:c r="AH25" s="16" t="str">
        <x:v>测试高客单套餐</x:v>
      </x:c>
    </x:row>
    <x:row r="26">
      <x:c r="A26" s="16" t="str">
        <x:v>P025</x:v>
      </x:c>
      <x:c r="B26" s="16" t="str">
        <x:v>露营烤肉豪华包</x:v>
      </x:c>
      <x:c r="C26" s="16" t="str">
        <x:v>家庭套餐</x:v>
      </x:c>
      <x:c r="D26" s="16" t="str">
        <x:v>烤肉套餐</x:v>
      </x:c>
      <x:c r="E26" s="16" t="str">
        <x:v>是</x:v>
      </x:c>
      <x:c r="F26" s="18" t="n">
        <x:v>298</x:v>
      </x:c>
      <x:c r="G26" s="18" t="n">
        <x:v>182</x:v>
      </x:c>
      <x:c r="H26" s="20" t="n">
        <x:f>IFERROR((F26-G26)/F26,0)</x:f>
        <x:v>0.38926174496644295</x:v>
      </x:c>
      <x:c r="I26" s="16" t="str">
        <x:v>烤肉7盒+虾+鸡翅+蘸料</x:v>
      </x:c>
      <x:c r="J26" s="16" t="str">
        <x:v>套</x:v>
      </x:c>
      <x:c r="K26" s="22" t="n">
        <x:v>4</x:v>
      </x:c>
      <x:c r="L26" s="22" t="n">
        <x:v>6</x:v>
      </x:c>
      <x:c r="M26" s="22" t="n">
        <x:v>260</x:v>
      </x:c>
      <x:c r="N26" s="22" t="n">
        <x:v>330</x:v>
      </x:c>
      <x:c r="O26" s="22" t="n">
        <x:v>6</x:v>
      </x:c>
      <x:c r="P26" s="22" t="str">
        <x:v>上架</x:v>
      </x:c>
      <x:c r="Q26" s="22" t="n">
        <x:v>7</x:v>
      </x:c>
      <x:c r="R26" s="22" t="n">
        <x:v>25</x:v>
      </x:c>
      <x:c r="S26" s="16" t="str">
        <x:v>否</x:v>
      </x:c>
      <x:c r="T26" s="16" t="str">
        <x:v>是</x:v>
      </x:c>
      <x:c r="U26" s="16" t="str">
        <x:v>否</x:v>
      </x:c>
      <x:c r="V26" s="16" t="str">
        <x:v>正常</x:v>
      </x:c>
      <x:c r="W26" s="16" t="str">
        <x:v>可选</x:v>
      </x:c>
      <x:c r="X26" s="16" t="str">
        <x:v>烤肉聚餐,家庭聚餐</x:v>
      </x:c>
      <x:c r="Y26" s="16" t="str">
        <x:v>露营,家庭,朋友聚餐</x:v>
      </x:c>
      <x:c r="Z26" s="16" t="str">
        <x:v>单人顾客</x:v>
      </x:c>
      <x:c r="AA26" s="16" t="str">
        <x:v>烤肉,高客单</x:v>
      </x:c>
      <x:c r="AB26" s="16" t="str">
        <x:v>含海鲜、鸡肉</x:v>
      </x:c>
      <x:c r="AC26" s="16" t="str">
        <x:v>是</x:v>
      </x:c>
      <x:c r="AD26" s="16" t="str">
        <x:v>适合多人露营和家庭烤肉。</x:v>
      </x:c>
      <x:c r="AE26" s="16" t="str">
        <x:v>烤肉7盒、虾、鸡翅中、鸡翅根、蘸料、餐具</x:v>
      </x:c>
      <x:c r="AF26" s="16" t="str">
        <x:v>加饮品或蔬菜</x:v>
      </x:c>
      <x:c r="AG26" s="16" t="str">
        <x:v>露营烤肉豪华包：适合多人露营和家庭烤肉。 售价298.0元，规格烤肉7盒+虾+鸡翅+蘸料，适合烤肉聚餐,家庭聚餐，口味正常/可选。</x:v>
      </x:c>
      <x:c r="AH26" s="16" t="str">
        <x:v>测试高客单</x:v>
      </x:c>
    </x:row>
    <x:row r="27">
      <x:c r="A27" s="16" t="str">
        <x:v>P026</x:v>
      </x:c>
      <x:c r="B27" s="16" t="str">
        <x:v>安格斯板腱薄片</x:v>
      </x:c>
      <x:c r="C27" s="16" t="str">
        <x:v>生鲜烤肉</x:v>
      </x:c>
      <x:c r="D27" s="16" t="str">
        <x:v>原切牛肉</x:v>
      </x:c>
      <x:c r="E27" s="16" t="str">
        <x:v>否</x:v>
      </x:c>
      <x:c r="F27" s="18" t="n">
        <x:v>29.9</x:v>
      </x:c>
      <x:c r="G27" s="18" t="n">
        <x:v>18</x:v>
      </x:c>
      <x:c r="H27" s="20" t="n">
        <x:f>IFERROR((F27-G27)/F27,0)</x:f>
        <x:v>0.39799331103678925</x:v>
      </x:c>
      <x:c r="I27" s="16" t="str">
        <x:v>100g</x:v>
      </x:c>
      <x:c r="J27" s="16" t="str">
        <x:v>盒</x:v>
      </x:c>
      <x:c r="K27" s="22" t="n">
        <x:v>1</x:v>
      </x:c>
      <x:c r="L27" s="22" t="n">
        <x:v>2</x:v>
      </x:c>
      <x:c r="M27" s="22" t="n">
        <x:v>25</x:v>
      </x:c>
      <x:c r="N27" s="22" t="n">
        <x:v>50</x:v>
      </x:c>
      <x:c r="O27" s="22" t="n">
        <x:v>55</x:v>
      </x:c>
      <x:c r="P27" s="22" t="str">
        <x:v>上架</x:v>
      </x:c>
      <x:c r="Q27" s="22" t="n">
        <x:v>8</x:v>
      </x:c>
      <x:c r="R27" s="22" t="n">
        <x:v>0</x:v>
      </x:c>
      <x:c r="S27" s="16" t="str">
        <x:v>否</x:v>
      </x:c>
      <x:c r="T27" s="16" t="str">
        <x:v>是</x:v>
      </x:c>
      <x:c r="U27" s="16" t="str">
        <x:v>否</x:v>
      </x:c>
      <x:c r="V27" s="16" t="str">
        <x:v>清淡</x:v>
      </x:c>
      <x:c r="W27" s="16" t="str">
        <x:v>不辣</x:v>
      </x:c>
      <x:c r="X27" s="16" t="str">
        <x:v>减脂高蛋白,烤肉聚餐</x:v>
      </x:c>
      <x:c r="Y27" s="16" t="str">
        <x:v>减脂人群,烤肉人群</x:v>
      </x:c>
      <x:c r="Z27" s="16" t="str">
        <x:v>不做饭顾客</x:v>
      </x:c>
      <x:c r="AA27" s="16" t="str">
        <x:v>高蛋白,生鲜</x:v>
      </x:c>
      <x:c r="AB27" s="16" t="str">
        <x:v>需充分加热</x:v>
      </x:c>
      <x:c r="AC27" s="16" t="str">
        <x:v>是</x:v>
      </x:c>
      <x:c r="AD27" s="16" t="str">
        <x:v>原切板腱薄片，适合煎烤或备餐。</x:v>
      </x:c>
      <x:c r="AE27" s="16" t="str">
        <x:v>安格斯板腱</x:v>
      </x:c>
      <x:c r="AF27" s="16" t="str">
        <x:v>加蘸料或生菜</x:v>
      </x:c>
      <x:c r="AG27" s="16" t="str">
        <x:v>安格斯板腱薄片：原切板腱薄片，适合煎烤或备餐。 售价29.9元，规格100g，适合减脂高蛋白,烤肉聚餐，口味清淡/不辣。</x:v>
      </x:c>
      <x:c r="AH27" s="16" t="str">
        <x:v>测试生鲜</x:v>
      </x:c>
    </x:row>
    <x:row r="28">
      <x:c r="A28" s="16" t="str">
        <x:v>P027</x:v>
      </x:c>
      <x:c r="B28" s="16" t="str">
        <x:v>安格斯肥牛卷</x:v>
      </x:c>
      <x:c r="C28" s="16" t="str">
        <x:v>生鲜烤肉</x:v>
      </x:c>
      <x:c r="D28" s="16" t="str">
        <x:v>火锅牛肉</x:v>
      </x:c>
      <x:c r="E28" s="16" t="str">
        <x:v>否</x:v>
      </x:c>
      <x:c r="F28" s="18" t="n">
        <x:v>38</x:v>
      </x:c>
      <x:c r="G28" s="18" t="n">
        <x:v>24.5</x:v>
      </x:c>
      <x:c r="H28" s="20" t="n">
        <x:f>IFERROR((F28-G28)/F28,0)</x:f>
        <x:v>0.35526315789473684</x:v>
      </x:c>
      <x:c r="I28" s="16" t="str">
        <x:v>250g</x:v>
      </x:c>
      <x:c r="J28" s="16" t="str">
        <x:v>盒</x:v>
      </x:c>
      <x:c r="K28" s="22" t="n">
        <x:v>2</x:v>
      </x:c>
      <x:c r="L28" s="22" t="n">
        <x:v>3</x:v>
      </x:c>
      <x:c r="M28" s="22" t="n">
        <x:v>35</x:v>
      </x:c>
      <x:c r="N28" s="22" t="n">
        <x:v>60</x:v>
      </x:c>
      <x:c r="O28" s="22" t="n">
        <x:v>38</x:v>
      </x:c>
      <x:c r="P28" s="22" t="str">
        <x:v>上架</x:v>
      </x:c>
      <x:c r="Q28" s="22" t="n">
        <x:v>7</x:v>
      </x:c>
      <x:c r="R28" s="22" t="n">
        <x:v>0</x:v>
      </x:c>
      <x:c r="S28" s="16" t="str">
        <x:v>否</x:v>
      </x:c>
      <x:c r="T28" s="16" t="str">
        <x:v>是</x:v>
      </x:c>
      <x:c r="U28" s="16" t="str">
        <x:v>否</x:v>
      </x:c>
      <x:c r="V28" s="16" t="str">
        <x:v>正常</x:v>
      </x:c>
      <x:c r="W28" s="16" t="str">
        <x:v>不辣</x:v>
      </x:c>
      <x:c r="X28" s="16" t="str">
        <x:v>家庭备餐,火锅</x:v>
      </x:c>
      <x:c r="Y28" s="16" t="str">
        <x:v>家庭,火锅人群</x:v>
      </x:c>
      <x:c r="Z28" s="16" t="str">
        <x:v>严格低脂人群</x:v>
      </x:c>
      <x:c r="AA28" s="16" t="str">
        <x:v>火锅,生鲜</x:v>
      </x:c>
      <x:c r="AB28" s="16" t="str">
        <x:v>需充分加热</x:v>
      </x:c>
      <x:c r="AC28" s="16" t="str">
        <x:v>是</x:v>
      </x:c>
      <x:c r="AD28" s="16" t="str">
        <x:v>肥牛卷适合火锅和快手炒菜。</x:v>
      </x:c>
      <x:c r="AE28" s="16" t="str">
        <x:v>安格斯肥牛卷</x:v>
      </x:c>
      <x:c r="AF28" s="16" t="str">
        <x:v>加牛肉丸</x:v>
      </x:c>
      <x:c r="AG28" s="16" t="str">
        <x:v>安格斯肥牛卷：肥牛卷适合火锅和快手炒菜。 售价38.0元，规格250g，适合家庭备餐,火锅，口味正常/不辣。</x:v>
      </x:c>
      <x:c r="AH28" s="16" t="str">
        <x:v>测试火锅生鲜</x:v>
      </x:c>
    </x:row>
    <x:row r="29">
      <x:c r="A29" s="16" t="str">
        <x:v>P028</x:v>
      </x:c>
      <x:c r="B29" s="16" t="str">
        <x:v>谷饲牛仔骨</x:v>
      </x:c>
      <x:c r="C29" s="16" t="str">
        <x:v>生鲜烤肉</x:v>
      </x:c>
      <x:c r="D29" s="16" t="str">
        <x:v>带骨烤肉</x:v>
      </x:c>
      <x:c r="E29" s="16" t="str">
        <x:v>否</x:v>
      </x:c>
      <x:c r="F29" s="18" t="n">
        <x:v>49.9</x:v>
      </x:c>
      <x:c r="G29" s="18" t="n">
        <x:v>31</x:v>
      </x:c>
      <x:c r="H29" s="20" t="n">
        <x:f>IFERROR((F29-G29)/F29,0)</x:f>
        <x:v>0.3787575150300601</x:v>
      </x:c>
      <x:c r="I29" s="16" t="str">
        <x:v>200g</x:v>
      </x:c>
      <x:c r="J29" s="16" t="str">
        <x:v>盒</x:v>
      </x:c>
      <x:c r="K29" s="22" t="n">
        <x:v>2</x:v>
      </x:c>
      <x:c r="L29" s="22" t="n">
        <x:v>3</x:v>
      </x:c>
      <x:c r="M29" s="22" t="n">
        <x:v>45</x:v>
      </x:c>
      <x:c r="N29" s="22" t="n">
        <x:v>80</x:v>
      </x:c>
      <x:c r="O29" s="22" t="n">
        <x:v>24</x:v>
      </x:c>
      <x:c r="P29" s="22" t="str">
        <x:v>上架</x:v>
      </x:c>
      <x:c r="Q29" s="22" t="n">
        <x:v>7</x:v>
      </x:c>
      <x:c r="R29" s="22" t="n">
        <x:v>0</x:v>
      </x:c>
      <x:c r="S29" s="16" t="str">
        <x:v>否</x:v>
      </x:c>
      <x:c r="T29" s="16" t="str">
        <x:v>是</x:v>
      </x:c>
      <x:c r="U29" s="16" t="str">
        <x:v>否</x:v>
      </x:c>
      <x:c r="V29" s="16" t="str">
        <x:v>正常</x:v>
      </x:c>
      <x:c r="W29" s="16" t="str">
        <x:v>可选</x:v>
      </x:c>
      <x:c r="X29" s="16" t="str">
        <x:v>烤肉聚餐,想解馋</x:v>
      </x:c>
      <x:c r="Y29" s="16" t="str">
        <x:v>烤肉人群,爱啃骨头人群</x:v>
      </x:c>
      <x:c r="Z29" s="16" t="str">
        <x:v>孩子小龄,老人</x:v>
      </x:c>
      <x:c r="AA29" s="16" t="str">
        <x:v>烤肉,带骨</x:v>
      </x:c>
      <x:c r="AB29" s="16" t="str">
        <x:v>带骨需注意</x:v>
      </x:c>
      <x:c r="AC29" s="16" t="str">
        <x:v>是</x:v>
      </x:c>
      <x:c r="AD29" s="16" t="str">
        <x:v>带骨牛仔骨，适合煎烤。</x:v>
      </x:c>
      <x:c r="AE29" s="16" t="str">
        <x:v>牛仔骨</x:v>
      </x:c>
      <x:c r="AF29" s="16" t="str">
        <x:v>加生菜蘸料</x:v>
      </x:c>
      <x:c r="AG29" s="16" t="str">
        <x:v>谷饲牛仔骨：带骨牛仔骨，适合煎烤。 售价49.9元，规格200g，适合烤肉聚餐,想解馋，口味正常/可选。</x:v>
      </x:c>
      <x:c r="AH29" s="16" t="str">
        <x:v>测试替代推荐</x:v>
      </x:c>
    </x:row>
    <x:row r="30">
      <x:c r="A30" s="16" t="str">
        <x:v>P029</x:v>
      </x:c>
      <x:c r="B30" s="16" t="str">
        <x:v>M6和牛烤肉片</x:v>
      </x:c>
      <x:c r="C30" s="16" t="str">
        <x:v>生鲜烤肉</x:v>
      </x:c>
      <x:c r="D30" s="16" t="str">
        <x:v>和牛烤肉</x:v>
      </x:c>
      <x:c r="E30" s="16" t="str">
        <x:v>否</x:v>
      </x:c>
      <x:c r="F30" s="18" t="n">
        <x:v>69.9</x:v>
      </x:c>
      <x:c r="G30" s="18" t="n">
        <x:v>43</x:v>
      </x:c>
      <x:c r="H30" s="20" t="n">
        <x:f>IFERROR((F30-G30)/F30,0)</x:f>
        <x:v>0.38483547925608014</x:v>
      </x:c>
      <x:c r="I30" s="16" t="str">
        <x:v>100g</x:v>
      </x:c>
      <x:c r="J30" s="16" t="str">
        <x:v>盒</x:v>
      </x:c>
      <x:c r="K30" s="22" t="n">
        <x:v>1</x:v>
      </x:c>
      <x:c r="L30" s="22" t="n">
        <x:v>2</x:v>
      </x:c>
      <x:c r="M30" s="22" t="n">
        <x:v>60</x:v>
      </x:c>
      <x:c r="N30" s="22" t="n">
        <x:v>100</x:v>
      </x:c>
      <x:c r="O30" s="22" t="n">
        <x:v>10</x:v>
      </x:c>
      <x:c r="P30" s="22" t="str">
        <x:v>上架</x:v>
      </x:c>
      <x:c r="Q30" s="22" t="n">
        <x:v>8</x:v>
      </x:c>
      <x:c r="R30" s="22" t="n">
        <x:v>0</x:v>
      </x:c>
      <x:c r="S30" s="16" t="str">
        <x:v>否</x:v>
      </x:c>
      <x:c r="T30" s="16" t="str">
        <x:v>是</x:v>
      </x:c>
      <x:c r="U30" s="16" t="str">
        <x:v>否</x:v>
      </x:c>
      <x:c r="V30" s="16" t="str">
        <x:v>正常</x:v>
      </x:c>
      <x:c r="W30" s="16" t="str">
        <x:v>不辣</x:v>
      </x:c>
      <x:c r="X30" s="16" t="str">
        <x:v>烤肉聚餐,高品质尝鲜</x:v>
      </x:c>
      <x:c r="Y30" s="16" t="str">
        <x:v>高客单顾客,和牛爱好者</x:v>
      </x:c>
      <x:c r="Z30" s="16" t="str">
        <x:v>预算低顾客</x:v>
      </x:c>
      <x:c r="AA30" s="16" t="str">
        <x:v>和牛,高品质</x:v>
      </x:c>
      <x:c r="AB30" s="16" t="str">
        <x:v>需充分加热</x:v>
      </x:c>
      <x:c r="AC30" s="16" t="str">
        <x:v>是</x:v>
      </x:c>
      <x:c r="AD30" s="16" t="str">
        <x:v>M6和牛烤肉片，适合高品质尝鲜。</x:v>
      </x:c>
      <x:c r="AE30" s="16" t="str">
        <x:v>M6和牛</x:v>
      </x:c>
      <x:c r="AF30" s="16" t="str">
        <x:v>加蘸料</x:v>
      </x:c>
      <x:c r="AG30" s="16" t="str">
        <x:v>M6和牛烤肉片：M6和牛烤肉片，适合高品质尝鲜。 售价69.9元，规格100g，适合烤肉聚餐,高品质尝鲜，口味正常/不辣。</x:v>
      </x:c>
      <x:c r="AH30" s="16" t="str">
        <x:v>测试高价单品</x:v>
      </x:c>
    </x:row>
    <x:row r="31">
      <x:c r="A31" s="16" t="str">
        <x:v>P030</x:v>
      </x:c>
      <x:c r="B31" s="16" t="str">
        <x:v>草饲牛腩块</x:v>
      </x:c>
      <x:c r="C31" s="16" t="str">
        <x:v>生鲜烤肉</x:v>
      </x:c>
      <x:c r="D31" s="16" t="str">
        <x:v>炖煮牛肉</x:v>
      </x:c>
      <x:c r="E31" s="16" t="str">
        <x:v>否</x:v>
      </x:c>
      <x:c r="F31" s="18" t="n">
        <x:v>35</x:v>
      </x:c>
      <x:c r="G31" s="18" t="n">
        <x:v>25</x:v>
      </x:c>
      <x:c r="H31" s="20" t="n">
        <x:f>IFERROR((F31-G31)/F31,0)</x:f>
        <x:v>0.2857142857142857</x:v>
      </x:c>
      <x:c r="I31" s="16" t="str">
        <x:v>500g</x:v>
      </x:c>
      <x:c r="J31" s="16" t="str">
        <x:v>斤</x:v>
      </x:c>
      <x:c r="K31" s="22" t="n">
        <x:v>3</x:v>
      </x:c>
      <x:c r="L31" s="22" t="n">
        <x:v>5</x:v>
      </x:c>
      <x:c r="M31" s="22" t="n">
        <x:v>35</x:v>
      </x:c>
      <x:c r="N31" s="22" t="n">
        <x:v>80</x:v>
      </x:c>
      <x:c r="O31" s="22" t="n">
        <x:v>30</x:v>
      </x:c>
      <x:c r="P31" s="22" t="str">
        <x:v>上架</x:v>
      </x:c>
      <x:c r="Q31" s="22" t="n">
        <x:v>5</x:v>
      </x:c>
      <x:c r="R31" s="22" t="n">
        <x:v>0</x:v>
      </x:c>
      <x:c r="S31" s="16" t="str">
        <x:v>否</x:v>
      </x:c>
      <x:c r="T31" s="16" t="str">
        <x:v>是</x:v>
      </x:c>
      <x:c r="U31" s="16" t="str">
        <x:v>否</x:v>
      </x:c>
      <x:c r="V31" s="16" t="str">
        <x:v>正常</x:v>
      </x:c>
      <x:c r="W31" s="16" t="str">
        <x:v>不辣</x:v>
      </x:c>
      <x:c r="X31" s="16" t="str">
        <x:v>家庭备餐</x:v>
      </x:c>
      <x:c r="Y31" s="16" t="str">
        <x:v>家庭炖煮</x:v>
      </x:c>
      <x:c r="Z31" s="16" t="str">
        <x:v>不会做饭顾客</x:v>
      </x:c>
      <x:c r="AA31" s="16" t="str">
        <x:v>炖煮,生鲜</x:v>
      </x:c>
      <x:c r="AB31" s="16" t="str">
        <x:v>需长时间炖煮</x:v>
      </x:c>
      <x:c r="AC31" s="16" t="str">
        <x:v>是</x:v>
      </x:c>
      <x:c r="AD31" s="16" t="str">
        <x:v>适合番茄牛腩、咖喱牛腩等家常菜。</x:v>
      </x:c>
      <x:c r="AE31" s="16" t="str">
        <x:v>牛腩块</x:v>
      </x:c>
      <x:c r="AF31" s="16" t="str">
        <x:v>加番茄调料包</x:v>
      </x:c>
      <x:c r="AG31" s="16" t="str">
        <x:v>草饲牛腩块：适合番茄牛腩、咖喱牛腩等家常菜。 售价35.0元，规格500g，适合家庭备餐，口味正常/不辣。</x:v>
      </x:c>
      <x:c r="AH31" s="16" t="str">
        <x:v>测试生鲜炖煮</x:v>
      </x:c>
    </x:row>
    <x:row r="32">
      <x:c r="A32" s="16" t="str">
        <x:v>P031</x:v>
      </x:c>
      <x:c r="B32" s="16" t="str">
        <x:v>草饲牛肋排</x:v>
      </x:c>
      <x:c r="C32" s="16" t="str">
        <x:v>生鲜烤肉</x:v>
      </x:c>
      <x:c r="D32" s="16" t="str">
        <x:v>炖煮牛肉</x:v>
      </x:c>
      <x:c r="E32" s="16" t="str">
        <x:v>否</x:v>
      </x:c>
      <x:c r="F32" s="18" t="n">
        <x:v>26</x:v>
      </x:c>
      <x:c r="G32" s="18" t="n">
        <x:v>20</x:v>
      </x:c>
      <x:c r="H32" s="20" t="n">
        <x:f>IFERROR((F32-G32)/F32,0)</x:f>
        <x:v>0.23076923076923078</x:v>
      </x:c>
      <x:c r="I32" s="16" t="str">
        <x:v>500g</x:v>
      </x:c>
      <x:c r="J32" s="16" t="str">
        <x:v>斤</x:v>
      </x:c>
      <x:c r="K32" s="22" t="n">
        <x:v>3</x:v>
      </x:c>
      <x:c r="L32" s="22" t="n">
        <x:v>5</x:v>
      </x:c>
      <x:c r="M32" s="22" t="n">
        <x:v>25</x:v>
      </x:c>
      <x:c r="N32" s="22" t="n">
        <x:v>70</x:v>
      </x:c>
      <x:c r="O32" s="22" t="n">
        <x:v>22</x:v>
      </x:c>
      <x:c r="P32" s="22" t="str">
        <x:v>上架</x:v>
      </x:c>
      <x:c r="Q32" s="22" t="n">
        <x:v>5</x:v>
      </x:c>
      <x:c r="R32" s="22" t="n">
        <x:v>0</x:v>
      </x:c>
      <x:c r="S32" s="16" t="str">
        <x:v>否</x:v>
      </x:c>
      <x:c r="T32" s="16" t="str">
        <x:v>是</x:v>
      </x:c>
      <x:c r="U32" s="16" t="str">
        <x:v>否</x:v>
      </x:c>
      <x:c r="V32" s="16" t="str">
        <x:v>正常</x:v>
      </x:c>
      <x:c r="W32" s="16" t="str">
        <x:v>不辣</x:v>
      </x:c>
      <x:c r="X32" s="16" t="str">
        <x:v>家庭备餐</x:v>
      </x:c>
      <x:c r="Y32" s="16" t="str">
        <x:v>家庭炖汤</x:v>
      </x:c>
      <x:c r="Z32" s="16" t="str">
        <x:v>单人快餐顾客</x:v>
      </x:c>
      <x:c r="AA32" s="16" t="str">
        <x:v>炖煮,带骨</x:v>
      </x:c>
      <x:c r="AB32" s="16" t="str">
        <x:v>带骨需注意</x:v>
      </x:c>
      <x:c r="AC32" s="16" t="str">
        <x:v>是</x:v>
      </x:c>
      <x:c r="AD32" s="16" t="str">
        <x:v>适合炖汤和红烧的牛肋排。</x:v>
      </x:c>
      <x:c r="AE32" s="16" t="str">
        <x:v>牛肋排</x:v>
      </x:c>
      <x:c r="AF32" s="16" t="str">
        <x:v>加牛肉丸</x:v>
      </x:c>
      <x:c r="AG32" s="16" t="str">
        <x:v>草饲牛肋排：适合炖汤和红烧的牛肋排。 售价26.0元，规格500g，适合家庭备餐，口味正常/不辣。</x:v>
      </x:c>
      <x:c r="AH32" s="16" t="str">
        <x:v>测试低价生鲜</x:v>
      </x:c>
    </x:row>
    <x:row r="33">
      <x:c r="A33" s="16" t="str">
        <x:v>P032</x:v>
      </x:c>
      <x:c r="B33" s="16" t="str">
        <x:v>无抗鸡胸肉</x:v>
      </x:c>
      <x:c r="C33" s="16" t="str">
        <x:v>减脂轻食</x:v>
      </x:c>
      <x:c r="D33" s="16" t="str">
        <x:v>鸡肉</x:v>
      </x:c>
      <x:c r="E33" s="16" t="str">
        <x:v>否</x:v>
      </x:c>
      <x:c r="F33" s="18" t="n">
        <x:v>15</x:v>
      </x:c>
      <x:c r="G33" s="18" t="n">
        <x:v>8</x:v>
      </x:c>
      <x:c r="H33" s="20" t="n">
        <x:f>IFERROR((F33-G33)/F33,0)</x:f>
        <x:v>0.4666666666666667</x:v>
      </x:c>
      <x:c r="I33" s="16" t="str">
        <x:v>500g</x:v>
      </x:c>
      <x:c r="J33" s="16" t="str">
        <x:v>包</x:v>
      </x:c>
      <x:c r="K33" s="22" t="n">
        <x:v>1</x:v>
      </x:c>
      <x:c r="L33" s="22" t="n">
        <x:v>3</x:v>
      </x:c>
      <x:c r="M33" s="22" t="n">
        <x:v>15</x:v>
      </x:c>
      <x:c r="N33" s="22" t="n">
        <x:v>35</x:v>
      </x:c>
      <x:c r="O33" s="22" t="n">
        <x:v>65</x:v>
      </x:c>
      <x:c r="P33" s="22" t="str">
        <x:v>上架</x:v>
      </x:c>
      <x:c r="Q33" s="22" t="n">
        <x:v>7</x:v>
      </x:c>
      <x:c r="R33" s="22" t="n">
        <x:v>0</x:v>
      </x:c>
      <x:c r="S33" s="16" t="str">
        <x:v>否</x:v>
      </x:c>
      <x:c r="T33" s="16" t="str">
        <x:v>是</x:v>
      </x:c>
      <x:c r="U33" s="16" t="str">
        <x:v>是</x:v>
      </x:c>
      <x:c r="V33" s="16" t="str">
        <x:v>清淡</x:v>
      </x:c>
      <x:c r="W33" s="16" t="str">
        <x:v>不辣</x:v>
      </x:c>
      <x:c r="X33" s="16" t="str">
        <x:v>减脂高蛋白,家庭备餐</x:v>
      </x:c>
      <x:c r="Y33" s="16" t="str">
        <x:v>减脂人群,健身人群</x:v>
      </x:c>
      <x:c r="Z33" s="16" t="str">
        <x:v>不吃鸡肉人群</x:v>
      </x:c>
      <x:c r="AA33" s="16" t="str">
        <x:v>高蛋白,低脂</x:v>
      </x:c>
      <x:c r="AB33" s="16" t="str">
        <x:v>鸡肉</x:v>
      </x:c>
      <x:c r="AC33" s="16" t="str">
        <x:v>是</x:v>
      </x:c>
      <x:c r="AD33" s="16" t="str">
        <x:v>低脂鸡胸肉，适合高蛋白备餐。</x:v>
      </x:c>
      <x:c r="AE33" s="16" t="str">
        <x:v>鸡胸肉</x:v>
      </x:c>
      <x:c r="AF33" s="16" t="str">
        <x:v>搭配卤牛腱</x:v>
      </x:c>
      <x:c r="AG33" s="16" t="str">
        <x:v>无抗鸡胸肉：低脂鸡胸肉，适合高蛋白备餐。 售价15.0元，规格500g，适合减脂高蛋白,家庭备餐，口味清淡/不辣。</x:v>
      </x:c>
      <x:c r="AH33" s="16" t="str">
        <x:v>测试非牛肉商品</x:v>
      </x:c>
    </x:row>
    <x:row r="34">
      <x:c r="A34" s="16" t="str">
        <x:v>P033</x:v>
      </x:c>
      <x:c r="B34" s="16" t="str">
        <x:v>低脂牛筋丸</x:v>
      </x:c>
      <x:c r="C34" s="16" t="str">
        <x:v>减脂轻食</x:v>
      </x:c>
      <x:c r="D34" s="16" t="str">
        <x:v>牛丸</x:v>
      </x:c>
      <x:c r="E34" s="16" t="str">
        <x:v>否</x:v>
      </x:c>
      <x:c r="F34" s="18" t="n">
        <x:v>23.8</x:v>
      </x:c>
      <x:c r="G34" s="18" t="n">
        <x:v>13.5</x:v>
      </x:c>
      <x:c r="H34" s="20" t="n">
        <x:f>IFERROR((F34-G34)/F34,0)</x:f>
        <x:v>0.4327731092436975</x:v>
      </x:c>
      <x:c r="I34" s="16" t="str">
        <x:v>200g</x:v>
      </x:c>
      <x:c r="J34" s="16" t="str">
        <x:v>包</x:v>
      </x:c>
      <x:c r="K34" s="22" t="n">
        <x:v>1</x:v>
      </x:c>
      <x:c r="L34" s="22" t="n">
        <x:v>2</x:v>
      </x:c>
      <x:c r="M34" s="22" t="n">
        <x:v>20</x:v>
      </x:c>
      <x:c r="N34" s="22" t="n">
        <x:v>40</x:v>
      </x:c>
      <x:c r="O34" s="22" t="n">
        <x:v>72</x:v>
      </x:c>
      <x:c r="P34" s="22" t="str">
        <x:v>上架</x:v>
      </x:c>
      <x:c r="Q34" s="22" t="n">
        <x:v>8</x:v>
      </x:c>
      <x:c r="R34" s="22" t="n">
        <x:v>5</x:v>
      </x:c>
      <x:c r="S34" s="16" t="str">
        <x:v>是</x:v>
      </x:c>
      <x:c r="T34" s="16" t="str">
        <x:v>是</x:v>
      </x:c>
      <x:c r="U34" s="16" t="str">
        <x:v>是</x:v>
      </x:c>
      <x:c r="V34" s="16" t="str">
        <x:v>清淡</x:v>
      </x:c>
      <x:c r="W34" s="16" t="str">
        <x:v>不辣</x:v>
      </x:c>
      <x:c r="X34" s="16" t="str">
        <x:v>减脂高蛋白,孩子吃,家庭备餐</x:v>
      </x:c>
      <x:c r="Y34" s="16" t="str">
        <x:v>减脂人群,孩子</x:v>
      </x:c>
      <x:c r="Z34" s="16" t="str">
        <x:v>不吃丸类人群</x:v>
      </x:c>
      <x:c r="AA34" s="16" t="str">
        <x:v>高蛋白,低油</x:v>
      </x:c>
      <x:c r="AB34" s="16" t="str">
        <x:v>可能含淀粉</x:v>
      </x:c>
      <x:c r="AC34" s="16" t="str">
        <x:v>是</x:v>
      </x:c>
      <x:c r="AD34" s="16" t="str">
        <x:v>低脂牛筋丸，适合煮汤或加餐。</x:v>
      </x:c>
      <x:c r="AE34" s="16" t="str">
        <x:v>牛筋丸</x:v>
      </x:c>
      <x:c r="AF34" s="16" t="str">
        <x:v>搭配蔬菜包</x:v>
      </x:c>
      <x:c r="AG34" s="16" t="str">
        <x:v>低脂牛筋丸：低脂牛筋丸，适合煮汤或加餐。 售价23.8元，规格200g，适合减脂高蛋白,孩子吃,家庭备餐，口味清淡/不辣。</x:v>
      </x:c>
      <x:c r="AH34" s="16" t="str">
        <x:v>测试牛丸</x:v>
      </x:c>
    </x:row>
    <x:row r="35">
      <x:c r="A35" s="16" t="str">
        <x:v>P034</x:v>
      </x:c>
      <x:c r="B35" s="16" t="str">
        <x:v>西蓝花加购包</x:v>
      </x:c>
      <x:c r="C35" s="16" t="str">
        <x:v>加购配菜</x:v>
      </x:c>
      <x:c r="D35" s="16" t="str">
        <x:v>蔬菜</x:v>
      </x:c>
      <x:c r="E35" s="16" t="str">
        <x:v>否</x:v>
      </x:c>
      <x:c r="F35" s="18" t="n">
        <x:v>6.9</x:v>
      </x:c>
      <x:c r="G35" s="18" t="n">
        <x:v>3</x:v>
      </x:c>
      <x:c r="H35" s="20" t="n">
        <x:f>IFERROR((F35-G35)/F35,0)</x:f>
        <x:v>0.5652173913043479</x:v>
      </x:c>
      <x:c r="I35" s="16" t="str">
        <x:v>100g</x:v>
      </x:c>
      <x:c r="J35" s="16" t="str">
        <x:v>份</x:v>
      </x:c>
      <x:c r="K35" s="22" t="n">
        <x:v>1</x:v>
      </x:c>
      <x:c r="L35" s="22" t="n">
        <x:v>1</x:v>
      </x:c>
      <x:c r="M35" s="22" t="n">
        <x:v>5</x:v>
      </x:c>
      <x:c r="N35" s="22" t="n">
        <x:v>15</x:v>
      </x:c>
      <x:c r="O35" s="22" t="n">
        <x:v>90</x:v>
      </x:c>
      <x:c r="P35" s="22" t="str">
        <x:v>上架</x:v>
      </x:c>
      <x:c r="Q35" s="22" t="n">
        <x:v>6</x:v>
      </x:c>
      <x:c r="R35" s="22" t="n">
        <x:v>3</x:v>
      </x:c>
      <x:c r="S35" s="16" t="str">
        <x:v>是</x:v>
      </x:c>
      <x:c r="T35" s="16" t="str">
        <x:v>是</x:v>
      </x:c>
      <x:c r="U35" s="16" t="str">
        <x:v>是</x:v>
      </x:c>
      <x:c r="V35" s="16" t="str">
        <x:v>清淡</x:v>
      </x:c>
      <x:c r="W35" s="16" t="str">
        <x:v>不辣</x:v>
      </x:c>
      <x:c r="X35" s="16" t="str">
        <x:v>加购,减脂高蛋白</x:v>
      </x:c>
      <x:c r="Y35" s="16" t="str">
        <x:v>减脂人群,孩子</x:v>
      </x:c>
      <x:c r="Z35" s="16" t="str">
        <x:v>不吃蔬菜人群</x:v>
      </x:c>
      <x:c r="AA35" s="16" t="str">
        <x:v>蔬菜,低热量</x:v>
      </x:c>
      <x:c r="AB35" s="16" t="str">
        <x:v>无</x:v>
      </x:c>
      <x:c r="AC35" s="16" t="str">
        <x:v>否</x:v>
      </x:c>
      <x:c r="AD35" s="16" t="str">
        <x:v>西蓝花小份加购，适合搭配肉类。</x:v>
      </x:c>
      <x:c r="AE35" s="16" t="str">
        <x:v>西蓝花</x:v>
      </x:c>
      <x:c r="AF35" s="16" t="str">
        <x:v>搭配能量碗或饭类</x:v>
      </x:c>
      <x:c r="AG35" s="16" t="str">
        <x:v>西蓝花加购包：西蓝花小份加购，适合搭配肉类。 售价6.9元，规格100g，适合加购,减脂高蛋白，口味清淡/不辣。</x:v>
      </x:c>
      <x:c r="AH35" s="16" t="str">
        <x:v>测试蔬菜加购</x:v>
      </x:c>
    </x:row>
    <x:row r="36">
      <x:c r="A36" s="16" t="str">
        <x:v>P035</x:v>
      </x:c>
      <x:c r="B36" s="16" t="str">
        <x:v>煎蛋加购</x:v>
      </x:c>
      <x:c r="C36" s="16" t="str">
        <x:v>加购配菜</x:v>
      </x:c>
      <x:c r="D36" s="16" t="str">
        <x:v>蛋类</x:v>
      </x:c>
      <x:c r="E36" s="16" t="str">
        <x:v>否</x:v>
      </x:c>
      <x:c r="F36" s="18" t="n">
        <x:v>4</x:v>
      </x:c>
      <x:c r="G36" s="18" t="n">
        <x:v>1.5</x:v>
      </x:c>
      <x:c r="H36" s="20" t="n">
        <x:f>IFERROR((F36-G36)/F36,0)</x:f>
        <x:v>0.625</x:v>
      </x:c>
      <x:c r="I36" s="16" t="str">
        <x:v>1枚</x:v>
      </x:c>
      <x:c r="J36" s="16" t="str">
        <x:v>个</x:v>
      </x:c>
      <x:c r="K36" s="22" t="n">
        <x:v>1</x:v>
      </x:c>
      <x:c r="L36" s="22" t="n">
        <x:v>1</x:v>
      </x:c>
      <x:c r="M36" s="22" t="n">
        <x:v>3</x:v>
      </x:c>
      <x:c r="N36" s="22" t="n">
        <x:v>10</x:v>
      </x:c>
      <x:c r="O36" s="22" t="n">
        <x:v>100</x:v>
      </x:c>
      <x:c r="P36" s="22" t="str">
        <x:v>上架</x:v>
      </x:c>
      <x:c r="Q36" s="22" t="n">
        <x:v>6</x:v>
      </x:c>
      <x:c r="R36" s="22" t="n">
        <x:v>2</x:v>
      </x:c>
      <x:c r="S36" s="16" t="str">
        <x:v>是</x:v>
      </x:c>
      <x:c r="T36" s="16" t="str">
        <x:v>是</x:v>
      </x:c>
      <x:c r="U36" s="16" t="str">
        <x:v>是</x:v>
      </x:c>
      <x:c r="V36" s="16" t="str">
        <x:v>清淡</x:v>
      </x:c>
      <x:c r="W36" s="16" t="str">
        <x:v>不辣</x:v>
      </x:c>
      <x:c r="X36" s="16" t="str">
        <x:v>加购,正常吃饭</x:v>
      </x:c>
      <x:c r="Y36" s="16" t="str">
        <x:v>单人饭顾客</x:v>
      </x:c>
      <x:c r="Z36" s="16" t="str">
        <x:v>鸡蛋过敏人群</x:v>
      </x:c>
      <x:c r="AA36" s="16" t="str">
        <x:v>蛋白质,加购</x:v>
      </x:c>
      <x:c r="AB36" s="16" t="str">
        <x:v>含鸡蛋</x:v>
      </x:c>
      <x:c r="AC36" s="16" t="str">
        <x:v>否</x:v>
      </x:c>
      <x:c r="AD36" s="16" t="str">
        <x:v>煎蛋适合盖饭和能量碗加购。</x:v>
      </x:c>
      <x:c r="AE36" s="16" t="str">
        <x:v>鸡蛋</x:v>
      </x:c>
      <x:c r="AF36" s="16" t="str">
        <x:v>搭配盖饭</x:v>
      </x:c>
      <x:c r="AG36" s="16" t="str">
        <x:v>煎蛋加购：煎蛋适合盖饭和能量碗加购。 售价4.0元，规格1枚，适合加购,正常吃饭，口味清淡/不辣。</x:v>
      </x:c>
      <x:c r="AH36" s="16" t="str">
        <x:v>测试蛋类加购</x:v>
      </x:c>
    </x:row>
    <x:row r="37">
      <x:c r="A37" s="16" t="str">
        <x:v>P036</x:v>
      </x:c>
      <x:c r="B37" s="16" t="str">
        <x:v>生菜蘸料包</x:v>
      </x:c>
      <x:c r="C37" s="16" t="str">
        <x:v>加购配菜</x:v>
      </x:c>
      <x:c r="D37" s="16" t="str">
        <x:v>烤肉配菜</x:v>
      </x:c>
      <x:c r="E37" s="16" t="str">
        <x:v>否</x:v>
      </x:c>
      <x:c r="F37" s="18" t="n">
        <x:v>9.9</x:v>
      </x:c>
      <x:c r="G37" s="18" t="n">
        <x:v>4.5</x:v>
      </x:c>
      <x:c r="H37" s="20" t="n">
        <x:f>IFERROR((F37-G37)/F37,0)</x:f>
        <x:v>0.5454545454545455</x:v>
      </x:c>
      <x:c r="I37" s="16" t="str">
        <x:v>生菜+蘸料</x:v>
      </x:c>
      <x:c r="J37" s="16" t="str">
        <x:v>份</x:v>
      </x:c>
      <x:c r="K37" s="22" t="n">
        <x:v>2</x:v>
      </x:c>
      <x:c r="L37" s="22" t="n">
        <x:v>4</x:v>
      </x:c>
      <x:c r="M37" s="22" t="n">
        <x:v>8</x:v>
      </x:c>
      <x:c r="N37" s="22" t="n">
        <x:v>20</x:v>
      </x:c>
      <x:c r="O37" s="22" t="n">
        <x:v>50</x:v>
      </x:c>
      <x:c r="P37" s="22" t="str">
        <x:v>上架</x:v>
      </x:c>
      <x:c r="Q37" s="22" t="n">
        <x:v>6</x:v>
      </x:c>
      <x:c r="R37" s="22" t="n">
        <x:v>0</x:v>
      </x:c>
      <x:c r="S37" s="16" t="str">
        <x:v>否</x:v>
      </x:c>
      <x:c r="T37" s="16" t="str">
        <x:v>是</x:v>
      </x:c>
      <x:c r="U37" s="16" t="str">
        <x:v>否</x:v>
      </x:c>
      <x:c r="V37" s="16" t="str">
        <x:v>正常</x:v>
      </x:c>
      <x:c r="W37" s="16" t="str">
        <x:v>可选</x:v>
      </x:c>
      <x:c r="X37" s="16" t="str">
        <x:v>烤肉聚餐,加购</x:v>
      </x:c>
      <x:c r="Y37" s="16" t="str">
        <x:v>烤肉顾客</x:v>
      </x:c>
      <x:c r="Z37" s="16" t="str">
        <x:v>不吃生菜人群</x:v>
      </x:c>
      <x:c r="AA37" s="16" t="str">
        <x:v>烤肉配菜</x:v>
      </x:c>
      <x:c r="AB37" s="16" t="str">
        <x:v>蘸料含芝麻/花生风险</x:v>
      </x:c>
      <x:c r="AC37" s="16" t="str">
        <x:v>否</x:v>
      </x:c>
      <x:c r="AD37" s="16" t="str">
        <x:v>烤肉搭配生菜和蘸料。</x:v>
      </x:c>
      <x:c r="AE37" s="16" t="str">
        <x:v>生菜、蘸料</x:v>
      </x:c>
      <x:c r="AF37" s="16" t="str">
        <x:v>搭配烤肉片</x:v>
      </x:c>
      <x:c r="AG37" s="16" t="str">
        <x:v>生菜蘸料包：烤肉搭配生菜和蘸料。 售价9.9元，规格生菜+蘸料，适合烤肉聚餐,加购，口味正常/可选。</x:v>
      </x:c>
      <x:c r="AH37" s="16" t="str">
        <x:v>测试烤肉加购</x:v>
      </x:c>
    </x:row>
    <x:row r="38">
      <x:c r="A38" s="16" t="str">
        <x:v>P037</x:v>
      </x:c>
      <x:c r="B38" s="16" t="str">
        <x:v>清爽黄瓜萝卜脆</x:v>
      </x:c>
      <x:c r="C38" s="16" t="str">
        <x:v>加购配菜</x:v>
      </x:c>
      <x:c r="D38" s="16" t="str">
        <x:v>小菜</x:v>
      </x:c>
      <x:c r="E38" s="16" t="str">
        <x:v>否</x:v>
      </x:c>
      <x:c r="F38" s="18" t="n">
        <x:v>7.9</x:v>
      </x:c>
      <x:c r="G38" s="18" t="n">
        <x:v>3.2</x:v>
      </x:c>
      <x:c r="H38" s="20" t="n">
        <x:f>IFERROR((F38-G38)/F38,0)</x:f>
        <x:v>0.5949367088607594</x:v>
      </x:c>
      <x:c r="I38" s="16" t="str">
        <x:v>120g</x:v>
      </x:c>
      <x:c r="J38" s="16" t="str">
        <x:v>份</x:v>
      </x:c>
      <x:c r="K38" s="22" t="n">
        <x:v>1</x:v>
      </x:c>
      <x:c r="L38" s="22" t="n">
        <x:v>2</x:v>
      </x:c>
      <x:c r="M38" s="22" t="n">
        <x:v>6</x:v>
      </x:c>
      <x:c r="N38" s="22" t="n">
        <x:v>15</x:v>
      </x:c>
      <x:c r="O38" s="22" t="n">
        <x:v>0</x:v>
      </x:c>
      <x:c r="P38" s="22" t="str">
        <x:v>售罄</x:v>
      </x:c>
      <x:c r="Q38" s="22" t="n">
        <x:v>5</x:v>
      </x:c>
      <x:c r="R38" s="22" t="n">
        <x:v>1</x:v>
      </x:c>
      <x:c r="S38" s="16" t="str">
        <x:v>是</x:v>
      </x:c>
      <x:c r="T38" s="16" t="str">
        <x:v>是</x:v>
      </x:c>
      <x:c r="U38" s="16" t="str">
        <x:v>是</x:v>
      </x:c>
      <x:c r="V38" s="16" t="str">
        <x:v>清淡</x:v>
      </x:c>
      <x:c r="W38" s="16" t="str">
        <x:v>微辣</x:v>
      </x:c>
      <x:c r="X38" s="16" t="str">
        <x:v>加购,夏季</x:v>
      </x:c>
      <x:c r="Y38" s="16" t="str">
        <x:v>夏季开胃人群</x:v>
      </x:c>
      <x:c r="Z38" s="16" t="str">
        <x:v>孩子,不吃辣人群</x:v>
      </x:c>
      <x:c r="AA38" s="16" t="str">
        <x:v>小菜,开胃</x:v>
      </x:c>
      <x:c r="AB38" s="16" t="str">
        <x:v>含微辣调味</x:v>
      </x:c>
      <x:c r="AC38" s="16" t="str">
        <x:v>否</x:v>
      </x:c>
      <x:c r="AD38" s="16" t="str">
        <x:v>清爽开胃小菜，适合夏季搭配主食。</x:v>
      </x:c>
      <x:c r="AE38" s="16" t="str">
        <x:v>黄瓜、脆萝卜</x:v>
      </x:c>
      <x:c r="AF38" s="16" t="str">
        <x:v>搭配牛肉饭</x:v>
      </x:c>
      <x:c r="AG38" s="16" t="str">
        <x:v>清爽黄瓜萝卜脆：清爽开胃小菜，适合夏季搭配主食。 售价7.9元，规格120g，适合加购,夏季，口味清淡/微辣。</x:v>
      </x:c>
      <x:c r="AH38" s="16" t="str">
        <x:v>测试售罄过滤</x:v>
      </x:c>
    </x:row>
    <x:row r="39">
      <x:c r="A39" s="16" t="str">
        <x:v>P038</x:v>
      </x:c>
      <x:c r="B39" s="16" t="str">
        <x:v>黑蒜牛腩汤饭</x:v>
      </x:c>
      <x:c r="C39" s="16" t="str">
        <x:v>主食饭面</x:v>
      </x:c>
      <x:c r="D39" s="16" t="str">
        <x:v>汤饭</x:v>
      </x:c>
      <x:c r="E39" s="16" t="str">
        <x:v>否</x:v>
      </x:c>
      <x:c r="F39" s="18" t="n">
        <x:v>37.9</x:v>
      </x:c>
      <x:c r="G39" s="18" t="n">
        <x:v>21</x:v>
      </x:c>
      <x:c r="H39" s="20" t="n">
        <x:f>IFERROR((F39-G39)/F39,0)</x:f>
        <x:v>0.445910290237467</x:v>
      </x:c>
      <x:c r="I39" s="16" t="str">
        <x:v>牛腩90g+汤饭</x:v>
      </x:c>
      <x:c r="J39" s="16" t="str">
        <x:v>份</x:v>
      </x:c>
      <x:c r="K39" s="22" t="n">
        <x:v>1</x:v>
      </x:c>
      <x:c r="L39" s="22" t="n">
        <x:v>1</x:v>
      </x:c>
      <x:c r="M39" s="22" t="n">
        <x:v>35</x:v>
      </x:c>
      <x:c r="N39" s="22" t="n">
        <x:v>55</x:v>
      </x:c>
      <x:c r="O39" s="22" t="n">
        <x:v>0</x:v>
      </x:c>
      <x:c r="P39" s="22" t="str">
        <x:v>售罄</x:v>
      </x:c>
      <x:c r="Q39" s="22" t="n">
        <x:v>6</x:v>
      </x:c>
      <x:c r="R39" s="22" t="n">
        <x:v>8</x:v>
      </x:c>
      <x:c r="S39" s="16" t="str">
        <x:v>是</x:v>
      </x:c>
      <x:c r="T39" s="16" t="str">
        <x:v>是</x:v>
      </x:c>
      <x:c r="U39" s="16" t="str">
        <x:v>是</x:v>
      </x:c>
      <x:c r="V39" s="16" t="str">
        <x:v>正常</x:v>
      </x:c>
      <x:c r="W39" s="16" t="str">
        <x:v>不辣</x:v>
      </x:c>
      <x:c r="X39" s="16" t="str">
        <x:v>正常吃饭,老人友好</x:v>
      </x:c>
      <x:c r="Y39" s="16" t="str">
        <x:v>老人,不吃辣人群</x:v>
      </x:c>
      <x:c r="Z39" s="16" t="str">
        <x:v>不吃蒜人群</x:v>
      </x:c>
      <x:c r="AA39" s="16" t="str">
        <x:v>汤饭,软烂</x:v>
      </x:c>
      <x:c r="AB39" s="16" t="str">
        <x:v>含蒜</x:v>
      </x:c>
      <x:c r="AC39" s="16" t="str">
        <x:v>否</x:v>
      </x:c>
      <x:c r="AD39" s="16" t="str">
        <x:v>汤饭口感温和，适合天气冷时。</x:v>
      </x:c>
      <x:c r="AE39" s="16" t="str">
        <x:v>牛腩、黑蒜汤、米饭</x:v>
      </x:c>
      <x:c r="AF39" s="16" t="str">
        <x:v>加卤牛腱</x:v>
      </x:c>
      <x:c r="AG39" s="16" t="str">
        <x:v>黑蒜牛腩汤饭：汤饭口感温和，适合天气冷时。 售价37.9元，规格牛腩90g+汤饭，适合正常吃饭,老人友好，口味正常/不辣。</x:v>
      </x:c>
      <x:c r="AH39" s="16" t="str">
        <x:v>测试售罄</x:v>
      </x:c>
    </x:row>
    <x:row r="40">
      <x:c r="A40" s="16" t="str">
        <x:v>P039</x:v>
      </x:c>
      <x:c r="B40" s="16" t="str">
        <x:v>麻辣牛油拌牛肉面</x:v>
      </x:c>
      <x:c r="C40" s="16" t="str">
        <x:v>主食饭面</x:v>
      </x:c>
      <x:c r="D40" s="16" t="str">
        <x:v>面食</x:v>
      </x:c>
      <x:c r="E40" s="16" t="str">
        <x:v>否</x:v>
      </x:c>
      <x:c r="F40" s="18" t="n">
        <x:v>31.9</x:v>
      </x:c>
      <x:c r="G40" s="18" t="n">
        <x:v>17</x:v>
      </x:c>
      <x:c r="H40" s="20" t="n">
        <x:f>IFERROR((F40-G40)/F40,0)</x:f>
        <x:v>0.4670846394984326</x:v>
      </x:c>
      <x:c r="I40" s="16" t="str">
        <x:v>面250g+牛肉70g</x:v>
      </x:c>
      <x:c r="J40" s="16" t="str">
        <x:v>份</x:v>
      </x:c>
      <x:c r="K40" s="22" t="n">
        <x:v>1</x:v>
      </x:c>
      <x:c r="L40" s="22" t="n">
        <x:v>1</x:v>
      </x:c>
      <x:c r="M40" s="22" t="n">
        <x:v>30</x:v>
      </x:c>
      <x:c r="N40" s="22" t="n">
        <x:v>50</x:v>
      </x:c>
      <x:c r="O40" s="22" t="n">
        <x:v>20</x:v>
      </x:c>
      <x:c r="P40" s="22" t="str">
        <x:v>下架</x:v>
      </x:c>
      <x:c r="Q40" s="22" t="n">
        <x:v>5</x:v>
      </x:c>
      <x:c r="R40" s="22" t="n">
        <x:v>6</x:v>
      </x:c>
      <x:c r="S40" s="16" t="str">
        <x:v>是</x:v>
      </x:c>
      <x:c r="T40" s="16" t="str">
        <x:v>是</x:v>
      </x:c>
      <x:c r="U40" s="16" t="str">
        <x:v>是</x:v>
      </x:c>
      <x:c r="V40" s="16" t="str">
        <x:v>重口味</x:v>
      </x:c>
      <x:c r="W40" s="16" t="str">
        <x:v>麻辣</x:v>
      </x:c>
      <x:c r="X40" s="16" t="str">
        <x:v>想吃辣解馋</x:v>
      </x:c>
      <x:c r="Y40" s="16" t="str">
        <x:v>爱吃麻辣人群</x:v>
      </x:c>
      <x:c r="Z40" s="16" t="str">
        <x:v>孩子,减脂人群</x:v>
      </x:c>
      <x:c r="AA40" s="16" t="str">
        <x:v>麻辣,主食</x:v>
      </x:c>
      <x:c r="AB40" s="16" t="str">
        <x:v>含面、辣椒</x:v>
      </x:c>
      <x:c r="AC40" s="16" t="str">
        <x:v>否</x:v>
      </x:c>
      <x:c r="AD40" s="16" t="str">
        <x:v>麻辣牛油风味，适合重口味。</x:v>
      </x:c>
      <x:c r="AE40" s="16" t="str">
        <x:v>牛肉、面、麻辣牛油</x:v>
      </x:c>
      <x:c r="AF40" s="16" t="str">
        <x:v>加牛肉丸汤</x:v>
      </x:c>
      <x:c r="AG40" s="16" t="str">
        <x:v>麻辣牛油拌牛肉面：麻辣牛油风味，适合重口味。 售价31.9元，规格面250g+牛肉70g，适合想吃辣解馋，口味重口味/麻辣。</x:v>
      </x:c>
      <x:c r="AH40" s="16" t="str">
        <x:v>测试下架过滤</x:v>
      </x:c>
    </x:row>
    <x:row r="41">
      <x:c r="A41" s="16" t="str">
        <x:v>P040</x:v>
      </x:c>
      <x:c r="B41" s="16" t="str">
        <x:v>低温慢煮牛排沙拉</x:v>
      </x:c>
      <x:c r="C41" s="16" t="str">
        <x:v>减脂轻食</x:v>
      </x:c>
      <x:c r="D41" s="16" t="str">
        <x:v>沙拉</x:v>
      </x:c>
      <x:c r="E41" s="16" t="str">
        <x:v>否</x:v>
      </x:c>
      <x:c r="F41" s="18" t="n">
        <x:v>46.9</x:v>
      </x:c>
      <x:c r="G41" s="18" t="n">
        <x:v>27.5</x:v>
      </x:c>
      <x:c r="H41" s="20" t="n">
        <x:f>IFERROR((F41-G41)/F41,0)</x:f>
        <x:v>0.4136460554371002</x:v>
      </x:c>
      <x:c r="I41" s="16" t="str">
        <x:v>牛排100g+沙拉</x:v>
      </x:c>
      <x:c r="J41" s="16" t="str">
        <x:v>份</x:v>
      </x:c>
      <x:c r="K41" s="22" t="n">
        <x:v>1</x:v>
      </x:c>
      <x:c r="L41" s="22" t="n">
        <x:v>1</x:v>
      </x:c>
      <x:c r="M41" s="22" t="n">
        <x:v>40</x:v>
      </x:c>
      <x:c r="N41" s="22" t="n">
        <x:v>65</x:v>
      </x:c>
      <x:c r="O41" s="22" t="n">
        <x:v>14</x:v>
      </x:c>
      <x:c r="P41" s="22" t="str">
        <x:v>上架</x:v>
      </x:c>
      <x:c r="Q41" s="22" t="n">
        <x:v>8</x:v>
      </x:c>
      <x:c r="R41" s="22" t="n">
        <x:v>7</x:v>
      </x:c>
      <x:c r="S41" s="16" t="str">
        <x:v>是</x:v>
      </x:c>
      <x:c r="T41" s="16" t="str">
        <x:v>是</x:v>
      </x:c>
      <x:c r="U41" s="16" t="str">
        <x:v>是</x:v>
      </x:c>
      <x:c r="V41" s="16" t="str">
        <x:v>清淡</x:v>
      </x:c>
      <x:c r="W41" s="16" t="str">
        <x:v>不辣</x:v>
      </x:c>
      <x:c r="X41" s="16" t="str">
        <x:v>减脂高蛋白,高品质尝鲜</x:v>
      </x:c>
      <x:c r="Y41" s="16" t="str">
        <x:v>减脂人群,白领女性</x:v>
      </x:c>
      <x:c r="Z41" s="16" t="str">
        <x:v>想吃热饭人群</x:v>
      </x:c>
      <x:c r="AA41" s="16" t="str">
        <x:v>高蛋白,低油</x:v>
      </x:c>
      <x:c r="AB41" s="16" t="str">
        <x:v>含沙拉酱</x:v>
      </x:c>
      <x:c r="AC41" s="16" t="str">
        <x:v>否</x:v>
      </x:c>
      <x:c r="AD41" s="16" t="str">
        <x:v>牛排搭配沙拉，轻负担但有满足感。</x:v>
      </x:c>
      <x:c r="AE41" s="16" t="str">
        <x:v>牛排、沙拉、玉米、圣女果</x:v>
      </x:c>
      <x:c r="AF41" s="16" t="str">
        <x:v>加牛筋丸</x:v>
      </x:c>
      <x:c r="AG41" s="16" t="str">
        <x:v>低温慢煮牛排沙拉：牛排搭配沙拉，轻负担但有满足感。 售价46.9元，规格牛排100g+沙拉，适合减脂高蛋白,高品质尝鲜，口味清淡/不辣。</x:v>
      </x:c>
      <x:c r="AH41" s="16" t="str">
        <x:v>测试沙拉</x:v>
      </x:c>
    </x:row>
    <x:row r="42">
      <x:c r="A42" s="16" t="str">
        <x:v>P041</x:v>
      </x:c>
      <x:c r="B42" s="16" t="str">
        <x:v>牛肉蔬菜低卡汤</x:v>
      </x:c>
      <x:c r="C42" s="16" t="str">
        <x:v>减脂轻食</x:v>
      </x:c>
      <x:c r="D42" s="16" t="str">
        <x:v>汤品</x:v>
      </x:c>
      <x:c r="E42" s="16" t="str">
        <x:v>否</x:v>
      </x:c>
      <x:c r="F42" s="18" t="n">
        <x:v>22.9</x:v>
      </x:c>
      <x:c r="G42" s="18" t="n">
        <x:v>11.8</x:v>
      </x:c>
      <x:c r="H42" s="20" t="n">
        <x:f>IFERROR((F42-G42)/F42,0)</x:f>
        <x:v>0.48471615720524014</x:v>
      </x:c>
      <x:c r="I42" s="16" t="str">
        <x:v>牛肉片60g+蔬菜汤</x:v>
      </x:c>
      <x:c r="J42" s="16" t="str">
        <x:v>碗</x:v>
      </x:c>
      <x:c r="K42" s="22" t="n">
        <x:v>1</x:v>
      </x:c>
      <x:c r="L42" s="22" t="n">
        <x:v>1</x:v>
      </x:c>
      <x:c r="M42" s="22" t="n">
        <x:v>20</x:v>
      </x:c>
      <x:c r="N42" s="22" t="n">
        <x:v>35</x:v>
      </x:c>
      <x:c r="O42" s="22" t="n">
        <x:v>30</x:v>
      </x:c>
      <x:c r="P42" s="22" t="str">
        <x:v>上架</x:v>
      </x:c>
      <x:c r="Q42" s="22" t="n">
        <x:v>7</x:v>
      </x:c>
      <x:c r="R42" s="22" t="n">
        <x:v>4</x:v>
      </x:c>
      <x:c r="S42" s="16" t="str">
        <x:v>是</x:v>
      </x:c>
      <x:c r="T42" s="16" t="str">
        <x:v>是</x:v>
      </x:c>
      <x:c r="U42" s="16" t="str">
        <x:v>是</x:v>
      </x:c>
      <x:c r="V42" s="16" t="str">
        <x:v>清淡</x:v>
      </x:c>
      <x:c r="W42" s="16" t="str">
        <x:v>不辣</x:v>
      </x:c>
      <x:c r="X42" s="16" t="str">
        <x:v>减脂高蛋白,晚餐轻食</x:v>
      </x:c>
      <x:c r="Y42" s="16" t="str">
        <x:v>减脂人群,晚餐顾客</x:v>
      </x:c>
      <x:c r="Z42" s="16" t="str">
        <x:v>想吃饱主食人群</x:v>
      </x:c>
      <x:c r="AA42" s="16" t="str">
        <x:v>低卡,汤品</x:v>
      </x:c>
      <x:c r="AB42" s="16" t="str">
        <x:v>无</x:v>
      </x:c>
      <x:c r="AC42" s="16" t="str">
        <x:v>否</x:v>
      </x:c>
      <x:c r="AD42" s="16" t="str">
        <x:v>牛肉和蔬菜搭配的轻食汤。</x:v>
      </x:c>
      <x:c r="AE42" s="16" t="str">
        <x:v>牛肉片、蔬菜、清汤</x:v>
      </x:c>
      <x:c r="AF42" s="16" t="str">
        <x:v>加卤牛腱</x:v>
      </x:c>
      <x:c r="AG42" s="16" t="str">
        <x:v>牛肉蔬菜低卡汤：牛肉和蔬菜搭配的轻食汤。 售价22.9元，规格牛肉片60g+蔬菜汤，适合减脂高蛋白,晚餐轻食，口味清淡/不辣。</x:v>
      </x:c>
      <x:c r="AH42" s="16" t="str">
        <x:v>测试汤轻食</x:v>
      </x:c>
    </x:row>
    <x:row r="43">
      <x:c r="A43" s="16" t="str">
        <x:v>P042</x:v>
      </x:c>
      <x:c r="B43" s="16" t="str">
        <x:v>能量早餐牛肉卷</x:v>
      </x:c>
      <x:c r="C43" s="16" t="str">
        <x:v>主食饭面</x:v>
      </x:c>
      <x:c r="D43" s="16" t="str">
        <x:v>早餐/卷饼</x:v>
      </x:c>
      <x:c r="E43" s="16" t="str">
        <x:v>否</x:v>
      </x:c>
      <x:c r="F43" s="18" t="n">
        <x:v>18.9</x:v>
      </x:c>
      <x:c r="G43" s="18" t="n">
        <x:v>9.8</x:v>
      </x:c>
      <x:c r="H43" s="20" t="n">
        <x:f>IFERROR((F43-G43)/F43,0)</x:f>
        <x:v>0.4814814814814814</x:v>
      </x:c>
      <x:c r="I43" s="16" t="str">
        <x:v>牛肉卷1个</x:v>
      </x:c>
      <x:c r="J43" s="16" t="str">
        <x:v>个</x:v>
      </x:c>
      <x:c r="K43" s="22" t="n">
        <x:v>1</x:v>
      </x:c>
      <x:c r="L43" s="22" t="n">
        <x:v>1</x:v>
      </x:c>
      <x:c r="M43" s="22" t="n">
        <x:v>15</x:v>
      </x:c>
      <x:c r="N43" s="22" t="n">
        <x:v>30</x:v>
      </x:c>
      <x:c r="O43" s="22" t="n">
        <x:v>44</x:v>
      </x:c>
      <x:c r="P43" s="22" t="str">
        <x:v>上架</x:v>
      </x:c>
      <x:c r="Q43" s="22" t="n">
        <x:v>6</x:v>
      </x:c>
      <x:c r="R43" s="22" t="n">
        <x:v>4</x:v>
      </x:c>
      <x:c r="S43" s="16" t="str">
        <x:v>是</x:v>
      </x:c>
      <x:c r="T43" s="16" t="str">
        <x:v>是</x:v>
      </x:c>
      <x:c r="U43" s="16" t="str">
        <x:v>是</x:v>
      </x:c>
      <x:c r="V43" s="16" t="str">
        <x:v>正常</x:v>
      </x:c>
      <x:c r="W43" s="16" t="str">
        <x:v>不辣</x:v>
      </x:c>
      <x:c r="X43" s="16" t="str">
        <x:v>一个人吃饭,孩子吃</x:v>
      </x:c>
      <x:c r="Y43" s="16" t="str">
        <x:v>早餐顾客,孩子</x:v>
      </x:c>
      <x:c r="Z43" s="16" t="str">
        <x:v>严格低碳人群</x:v>
      </x:c>
      <x:c r="AA43" s="16" t="str">
        <x:v>方便携带</x:v>
      </x:c>
      <x:c r="AB43" s="16" t="str">
        <x:v>含面皮、鸡蛋可能</x:v>
      </x:c>
      <x:c r="AC43" s="16" t="str">
        <x:v>否</x:v>
      </x:c>
      <x:c r="AD43" s="16" t="str">
        <x:v>牛肉卷适合早餐或外带。</x:v>
      </x:c>
      <x:c r="AE43" s="16" t="str">
        <x:v>牛肉、卷饼、生菜</x:v>
      </x:c>
      <x:c r="AF43" s="16" t="str">
        <x:v>加牛肉丸汤</x:v>
      </x:c>
      <x:c r="AG43" s="16" t="str">
        <x:v>能量早餐牛肉卷：牛肉卷适合早餐或外带。 售价18.9元，规格牛肉卷1个，适合一个人吃饭,孩子吃，口味正常/不辣。</x:v>
      </x:c>
      <x:c r="AH43" s="16" t="str">
        <x:v>测试早餐</x:v>
      </x:c>
    </x:row>
    <x:row r="44">
      <x:c r="A44" s="16" t="str">
        <x:v>P043</x:v>
      </x:c>
      <x:c r="B44" s="16" t="str">
        <x:v>孜然牛肉粒</x:v>
      </x:c>
      <x:c r="C44" s="16" t="str">
        <x:v>熟食小吃</x:v>
      </x:c>
      <x:c r="D44" s="16" t="str">
        <x:v>烧烤风味</x:v>
      </x:c>
      <x:c r="E44" s="16" t="str">
        <x:v>否</x:v>
      </x:c>
      <x:c r="F44" s="18" t="n">
        <x:v>36.9</x:v>
      </x:c>
      <x:c r="G44" s="18" t="n">
        <x:v>19.8</x:v>
      </x:c>
      <x:c r="H44" s="20" t="n">
        <x:f>IFERROR((F44-G44)/F44,0)</x:f>
        <x:v>0.46341463414634143</x:v>
      </x:c>
      <x:c r="I44" s="16" t="str">
        <x:v>160g</x:v>
      </x:c>
      <x:c r="J44" s="16" t="str">
        <x:v>盒</x:v>
      </x:c>
      <x:c r="K44" s="22" t="n">
        <x:v>1</x:v>
      </x:c>
      <x:c r="L44" s="22" t="n">
        <x:v>2</x:v>
      </x:c>
      <x:c r="M44" s="22" t="n">
        <x:v>35</x:v>
      </x:c>
      <x:c r="N44" s="22" t="n">
        <x:v>60</x:v>
      </x:c>
      <x:c r="O44" s="22" t="n">
        <x:v>20</x:v>
      </x:c>
      <x:c r="P44" s="22" t="str">
        <x:v>上架</x:v>
      </x:c>
      <x:c r="Q44" s="22" t="n">
        <x:v>8</x:v>
      </x:c>
      <x:c r="R44" s="22" t="n">
        <x:v>3</x:v>
      </x:c>
      <x:c r="S44" s="16" t="str">
        <x:v>是</x:v>
      </x:c>
      <x:c r="T44" s="16" t="str">
        <x:v>是</x:v>
      </x:c>
      <x:c r="U44" s="16" t="str">
        <x:v>是</x:v>
      </x:c>
      <x:c r="V44" s="16" t="str">
        <x:v>重口味</x:v>
      </x:c>
      <x:c r="W44" s="16" t="str">
        <x:v>微辣</x:v>
      </x:c>
      <x:c r="X44" s="16" t="str">
        <x:v>想吃辣解馋,下酒</x:v>
      </x:c>
      <x:c r="Y44" s="16" t="str">
        <x:v>爱孜然口味顾客</x:v>
      </x:c>
      <x:c r="Z44" s="16" t="str">
        <x:v>孩子,不吃孜然人群</x:v>
      </x:c>
      <x:c r="AA44" s="16" t="str">
        <x:v>烧烤风味,即食</x:v>
      </x:c>
      <x:c r="AB44" s="16" t="str">
        <x:v>含孜然、辣椒</x:v>
      </x:c>
      <x:c r="AC44" s="16" t="str">
        <x:v>否</x:v>
      </x:c>
      <x:c r="AD44" s="16" t="str">
        <x:v>孜然烧烤风味牛肉粒。</x:v>
      </x:c>
      <x:c r="AE44" s="16" t="str">
        <x:v>牛肉粒、孜然、辣椒</x:v>
      </x:c>
      <x:c r="AF44" s="16" t="str">
        <x:v>加黄瓜萝卜脆</x:v>
      </x:c>
      <x:c r="AG44" s="16" t="str">
        <x:v>孜然牛肉粒：孜然烧烤风味牛肉粒。 售价36.9元，规格160g，适合想吃辣解馋,下酒，口味重口味/微辣。</x:v>
      </x:c>
      <x:c r="AH44" s="16" t="str">
        <x:v>测试口味标签</x:v>
      </x:c>
    </x:row>
    <x:row r="45">
      <x:c r="A45" s="16" t="str">
        <x:v>P044</x:v>
      </x:c>
      <x:c r="B45" s="16" t="str">
        <x:v>蒜香黄油牛肉粒</x:v>
      </x:c>
      <x:c r="C45" s="16" t="str">
        <x:v>熟食小吃</x:v>
      </x:c>
      <x:c r="D45" s="16" t="str">
        <x:v>西式风味</x:v>
      </x:c>
      <x:c r="E45" s="16" t="str">
        <x:v>否</x:v>
      </x:c>
      <x:c r="F45" s="18" t="n">
        <x:v>42.9</x:v>
      </x:c>
      <x:c r="G45" s="18" t="n">
        <x:v>24</x:v>
      </x:c>
      <x:c r="H45" s="20" t="n">
        <x:f>IFERROR((F45-G45)/F45,0)</x:f>
        <x:v>0.4405594405594405</x:v>
      </x:c>
      <x:c r="I45" s="16" t="str">
        <x:v>160g</x:v>
      </x:c>
      <x:c r="J45" s="16" t="str">
        <x:v>盒</x:v>
      </x:c>
      <x:c r="K45" s="22" t="n">
        <x:v>1</x:v>
      </x:c>
      <x:c r="L45" s="22" t="n">
        <x:v>2</x:v>
      </x:c>
      <x:c r="M45" s="22" t="n">
        <x:v>40</x:v>
      </x:c>
      <x:c r="N45" s="22" t="n">
        <x:v>65</x:v>
      </x:c>
      <x:c r="O45" s="22" t="n">
        <x:v>12</x:v>
      </x:c>
      <x:c r="P45" s="22" t="str">
        <x:v>上架</x:v>
      </x:c>
      <x:c r="Q45" s="22" t="n">
        <x:v>7</x:v>
      </x:c>
      <x:c r="R45" s="22" t="n">
        <x:v>4</x:v>
      </x:c>
      <x:c r="S45" s="16" t="str">
        <x:v>是</x:v>
      </x:c>
      <x:c r="T45" s="16" t="str">
        <x:v>是</x:v>
      </x:c>
      <x:c r="U45" s="16" t="str">
        <x:v>是</x:v>
      </x:c>
      <x:c r="V45" s="16" t="str">
        <x:v>正常</x:v>
      </x:c>
      <x:c r="W45" s="16" t="str">
        <x:v>不辣</x:v>
      </x:c>
      <x:c r="X45" s="16" t="str">
        <x:v>高品质尝鲜,想解馋</x:v>
      </x:c>
      <x:c r="Y45" s="16" t="str">
        <x:v>不吃辣顾客,高客单顾客</x:v>
      </x:c>
      <x:c r="Z45" s="16" t="str">
        <x:v>不吃蒜/奶制品顾客</x:v>
      </x:c>
      <x:c r="AA45" s="16" t="str">
        <x:v>黄油风味,即食</x:v>
      </x:c>
      <x:c r="AB45" s="16" t="str">
        <x:v>含黄油、蒜</x:v>
      </x:c>
      <x:c r="AC45" s="16" t="str">
        <x:v>否</x:v>
      </x:c>
      <x:c r="AD45" s="16" t="str">
        <x:v>蒜香黄油风味，适合不吃辣但想解馋。</x:v>
      </x:c>
      <x:c r="AE45" s="16" t="str">
        <x:v>牛肉粒、黄油、蒜</x:v>
      </x:c>
      <x:c r="AF45" s="16" t="str">
        <x:v>加沙拉</x:v>
      </x:c>
      <x:c r="AG45" s="16" t="str">
        <x:v>蒜香黄油牛肉粒：蒜香黄油风味，适合不吃辣但想解馋。 售价42.9元，规格160g，适合高品质尝鲜,想解馋，口味正常/不辣。</x:v>
      </x:c>
      <x:c r="AH45" s="16" t="str">
        <x:v>测试非辣解馋</x:v>
      </x:c>
    </x:row>
    <x:row r="46">
      <x:c r="A46" s="16" t="str">
        <x:v>P045</x:v>
      </x:c>
      <x:c r="B46" s="16" t="str">
        <x:v>黑椒牛肉披萨卷</x:v>
      </x:c>
      <x:c r="C46" s="16" t="str">
        <x:v>主食饭面</x:v>
      </x:c>
      <x:c r="D46" s="16" t="str">
        <x:v>创意主食</x:v>
      </x:c>
      <x:c r="E46" s="16" t="str">
        <x:v>否</x:v>
      </x:c>
      <x:c r="F46" s="18" t="n">
        <x:v>23.9</x:v>
      </x:c>
      <x:c r="G46" s="18" t="n">
        <x:v>12.5</x:v>
      </x:c>
      <x:c r="H46" s="20" t="n">
        <x:f>IFERROR((F46-G46)/F46,0)</x:f>
        <x:v>0.47698744769874474</x:v>
      </x:c>
      <x:c r="I46" s="16" t="str">
        <x:v>披萨卷1份</x:v>
      </x:c>
      <x:c r="J46" s="16" t="str">
        <x:v>份</x:v>
      </x:c>
      <x:c r="K46" s="22" t="n">
        <x:v>1</x:v>
      </x:c>
      <x:c r="L46" s="22" t="n">
        <x:v>1</x:v>
      </x:c>
      <x:c r="M46" s="22" t="n">
        <x:v>20</x:v>
      </x:c>
      <x:c r="N46" s="22" t="n">
        <x:v>35</x:v>
      </x:c>
      <x:c r="O46" s="22" t="n">
        <x:v>26</x:v>
      </x:c>
      <x:c r="P46" s="22" t="str">
        <x:v>上架</x:v>
      </x:c>
      <x:c r="Q46" s="22" t="n">
        <x:v>6</x:v>
      </x:c>
      <x:c r="R46" s="22" t="n">
        <x:v>5</x:v>
      </x:c>
      <x:c r="S46" s="16" t="str">
        <x:v>是</x:v>
      </x:c>
      <x:c r="T46" s="16" t="str">
        <x:v>是</x:v>
      </x:c>
      <x:c r="U46" s="16" t="str">
        <x:v>是</x:v>
      </x:c>
      <x:c r="V46" s="16" t="str">
        <x:v>正常</x:v>
      </x:c>
      <x:c r="W46" s="16" t="str">
        <x:v>不辣</x:v>
      </x:c>
      <x:c r="X46" s="16" t="str">
        <x:v>孩子吃,一个人吃饭</x:v>
      </x:c>
      <x:c r="Y46" s="16" t="str">
        <x:v>孩子,年轻顾客</x:v>
      </x:c>
      <x:c r="Z46" s="16" t="str">
        <x:v>严格减脂人群</x:v>
      </x:c>
      <x:c r="AA46" s="16" t="str">
        <x:v>创意主食</x:v>
      </x:c>
      <x:c r="AB46" s="16" t="str">
        <x:v>含奶酪、面粉</x:v>
      </x:c>
      <x:c r="AC46" s="16" t="str">
        <x:v>否</x:v>
      </x:c>
      <x:c r="AD46" s="16" t="str">
        <x:v>黑椒牛肉披萨卷，外带方便。</x:v>
      </x:c>
      <x:c r="AE46" s="16" t="str">
        <x:v>牛肉、奶酪、饼皮</x:v>
      </x:c>
      <x:c r="AF46" s="16" t="str">
        <x:v>加牛肉丸汤</x:v>
      </x:c>
      <x:c r="AG46" s="16" t="str">
        <x:v>黑椒牛肉披萨卷：黑椒牛肉披萨卷，外带方便。 售价23.9元，规格披萨卷1份，适合孩子吃,一个人吃饭，口味正常/不辣。</x:v>
      </x:c>
      <x:c r="AH46" s="16" t="str">
        <x:v>测试创意产品</x:v>
      </x:c>
    </x:row>
    <x:row r="47">
      <x:c r="A47" s="16" t="str">
        <x:v>P046</x:v>
      </x:c>
      <x:c r="B47" s="16" t="str">
        <x:v>番茄芝士牛肉焗饭</x:v>
      </x:c>
      <x:c r="C47" s="16" t="str">
        <x:v>主食饭面</x:v>
      </x:c>
      <x:c r="D47" s="16" t="str">
        <x:v>焗饭</x:v>
      </x:c>
      <x:c r="E47" s="16" t="str">
        <x:v>否</x:v>
      </x:c>
      <x:c r="F47" s="18" t="n">
        <x:v>35.9</x:v>
      </x:c>
      <x:c r="G47" s="18" t="n">
        <x:v>19.5</x:v>
      </x:c>
      <x:c r="H47" s="20" t="n">
        <x:f>IFERROR((F47-G47)/F47,0)</x:f>
        <x:v>0.4568245125348189</x:v>
      </x:c>
      <x:c r="I47" s="16" t="str">
        <x:v>焗饭1份</x:v>
      </x:c>
      <x:c r="J47" s="16" t="str">
        <x:v>份</x:v>
      </x:c>
      <x:c r="K47" s="22" t="n">
        <x:v>1</x:v>
      </x:c>
      <x:c r="L47" s="22" t="n">
        <x:v>1</x:v>
      </x:c>
      <x:c r="M47" s="22" t="n">
        <x:v>35</x:v>
      </x:c>
      <x:c r="N47" s="22" t="n">
        <x:v>55</x:v>
      </x:c>
      <x:c r="O47" s="22" t="n">
        <x:v>18</x:v>
      </x:c>
      <x:c r="P47" s="22" t="str">
        <x:v>上架</x:v>
      </x:c>
      <x:c r="Q47" s="22" t="n">
        <x:v>6</x:v>
      </x:c>
      <x:c r="R47" s="22" t="n">
        <x:v>9</x:v>
      </x:c>
      <x:c r="S47" s="16" t="str">
        <x:v>是</x:v>
      </x:c>
      <x:c r="T47" s="16" t="str">
        <x:v>是</x:v>
      </x:c>
      <x:c r="U47" s="16" t="str">
        <x:v>是</x:v>
      </x:c>
      <x:c r="V47" s="16" t="str">
        <x:v>正常</x:v>
      </x:c>
      <x:c r="W47" s="16" t="str">
        <x:v>不辣</x:v>
      </x:c>
      <x:c r="X47" s="16" t="str">
        <x:v>正常吃饭,孩子吃</x:v>
      </x:c>
      <x:c r="Y47" s="16" t="str">
        <x:v>孩子,芝士爱好者</x:v>
      </x:c>
      <x:c r="Z47" s="16" t="str">
        <x:v>乳糖不耐受人群</x:v>
      </x:c>
      <x:c r="AA47" s="16" t="str">
        <x:v>芝士,饱腹</x:v>
      </x:c>
      <x:c r="AB47" s="16" t="str">
        <x:v>含奶酪</x:v>
      </x:c>
      <x:c r="AC47" s="16" t="str">
        <x:v>否</x:v>
      </x:c>
      <x:c r="AD47" s="16" t="str">
        <x:v>番茄牛肉加芝士焗饭，口味温和。</x:v>
      </x:c>
      <x:c r="AE47" s="16" t="str">
        <x:v>牛肉、番茄、米饭、芝士</x:v>
      </x:c>
      <x:c r="AF47" s="16" t="str">
        <x:v>加蔬菜包</x:v>
      </x:c>
      <x:c r="AG47" s="16" t="str">
        <x:v>番茄芝士牛肉焗饭：番茄牛肉加芝士焗饭，口味温和。 售价35.9元，规格焗饭1份，适合正常吃饭,孩子吃，口味正常/不辣。</x:v>
      </x:c>
      <x:c r="AH47" s="16" t="str">
        <x:v>测试焗饭</x:v>
      </x:c>
    </x:row>
    <x:row r="48">
      <x:c r="A48" s="16" t="str">
        <x:v>P047</x:v>
      </x:c>
      <x:c r="B48" s="16" t="str">
        <x:v>麻辣牛肉酱拌面</x:v>
      </x:c>
      <x:c r="C48" s="16" t="str">
        <x:v>主食饭面</x:v>
      </x:c>
      <x:c r="D48" s="16" t="str">
        <x:v>拌面</x:v>
      </x:c>
      <x:c r="E48" s="16" t="str">
        <x:v>否</x:v>
      </x:c>
      <x:c r="F48" s="18" t="n">
        <x:v>21.9</x:v>
      </x:c>
      <x:c r="G48" s="18" t="n">
        <x:v>10.8</x:v>
      </x:c>
      <x:c r="H48" s="20" t="n">
        <x:f>IFERROR((F48-G48)/F48,0)</x:f>
        <x:v>0.5068493150684931</x:v>
      </x:c>
      <x:c r="I48" s="16" t="str">
        <x:v>拌面1份</x:v>
      </x:c>
      <x:c r="J48" s="16" t="str">
        <x:v>份</x:v>
      </x:c>
      <x:c r="K48" s="22" t="n">
        <x:v>1</x:v>
      </x:c>
      <x:c r="L48" s="22" t="n">
        <x:v>1</x:v>
      </x:c>
      <x:c r="M48" s="22" t="n">
        <x:v>20</x:v>
      </x:c>
      <x:c r="N48" s="22" t="n">
        <x:v>35</x:v>
      </x:c>
      <x:c r="O48" s="22" t="n">
        <x:v>35</x:v>
      </x:c>
      <x:c r="P48" s="22" t="str">
        <x:v>上架</x:v>
      </x:c>
      <x:c r="Q48" s="22" t="n">
        <x:v>7</x:v>
      </x:c>
      <x:c r="R48" s="22" t="n">
        <x:v>4</x:v>
      </x:c>
      <x:c r="S48" s="16" t="str">
        <x:v>是</x:v>
      </x:c>
      <x:c r="T48" s="16" t="str">
        <x:v>是</x:v>
      </x:c>
      <x:c r="U48" s="16" t="str">
        <x:v>是</x:v>
      </x:c>
      <x:c r="V48" s="16" t="str">
        <x:v>重口味</x:v>
      </x:c>
      <x:c r="W48" s="16" t="str">
        <x:v>中辣</x:v>
      </x:c>
      <x:c r="X48" s="16" t="str">
        <x:v>想吃辣解馋,一个人吃饭</x:v>
      </x:c>
      <x:c r="Y48" s="16" t="str">
        <x:v>爱辣顾客,预算低顾客</x:v>
      </x:c>
      <x:c r="Z48" s="16" t="str">
        <x:v>孩子,不吃辣人群</x:v>
      </x:c>
      <x:c r="AA48" s="16" t="str">
        <x:v>辣味,主食</x:v>
      </x:c>
      <x:c r="AB48" s="16" t="str">
        <x:v>含面、辣椒</x:v>
      </x:c>
      <x:c r="AC48" s="16" t="str">
        <x:v>否</x:v>
      </x:c>
      <x:c r="AD48" s="16" t="str">
        <x:v>牛肉酱拌面，适合低预算重口味。</x:v>
      </x:c>
      <x:c r="AE48" s="16" t="str">
        <x:v>面、牛肉酱、青菜</x:v>
      </x:c>
      <x:c r="AF48" s="16" t="str">
        <x:v>加牛肉丸汤</x:v>
      </x:c>
      <x:c r="AG48" s="16" t="str">
        <x:v>麻辣牛肉酱拌面：牛肉酱拌面，适合低预算重口味。 售价21.9元，规格拌面1份，适合想吃辣解馋,一个人吃饭，口味重口味/中辣。</x:v>
      </x:c>
      <x:c r="AH48" s="16" t="str">
        <x:v>测试预算低辣味</x:v>
      </x:c>
    </x:row>
    <x:row r="49">
      <x:c r="A49" s="16" t="str">
        <x:v>P048</x:v>
      </x:c>
      <x:c r="B49" s="16" t="str">
        <x:v>原汤牛肉粉</x:v>
      </x:c>
      <x:c r="C49" s="16" t="str">
        <x:v>主食饭面</x:v>
      </x:c>
      <x:c r="D49" s="16" t="str">
        <x:v>粉面</x:v>
      </x:c>
      <x:c r="E49" s="16" t="str">
        <x:v>否</x:v>
      </x:c>
      <x:c r="F49" s="18" t="n">
        <x:v>27.9</x:v>
      </x:c>
      <x:c r="G49" s="18" t="n">
        <x:v>14.8</x:v>
      </x:c>
      <x:c r="H49" s="20" t="n">
        <x:f>IFERROR((F49-G49)/F49,0)</x:f>
        <x:v>0.4695340501792114</x:v>
      </x:c>
      <x:c r="I49" s="16" t="str">
        <x:v>牛肉粉1碗</x:v>
      </x:c>
      <x:c r="J49" s="16" t="str">
        <x:v>碗</x:v>
      </x:c>
      <x:c r="K49" s="22" t="n">
        <x:v>1</x:v>
      </x:c>
      <x:c r="L49" s="22" t="n">
        <x:v>1</x:v>
      </x:c>
      <x:c r="M49" s="22" t="n">
        <x:v>25</x:v>
      </x:c>
      <x:c r="N49" s="22" t="n">
        <x:v>40</x:v>
      </x:c>
      <x:c r="O49" s="22" t="n">
        <x:v>33</x:v>
      </x:c>
      <x:c r="P49" s="22" t="str">
        <x:v>上架</x:v>
      </x:c>
      <x:c r="Q49" s="22" t="n">
        <x:v>7</x:v>
      </x:c>
      <x:c r="R49" s="22" t="n">
        <x:v>5</x:v>
      </x:c>
      <x:c r="S49" s="16" t="str">
        <x:v>是</x:v>
      </x:c>
      <x:c r="T49" s="16" t="str">
        <x:v>是</x:v>
      </x:c>
      <x:c r="U49" s="16" t="str">
        <x:v>是</x:v>
      </x:c>
      <x:c r="V49" s="16" t="str">
        <x:v>正常</x:v>
      </x:c>
      <x:c r="W49" s="16" t="str">
        <x:v>可选</x:v>
      </x:c>
      <x:c r="X49" s="16" t="str">
        <x:v>正常吃饭,一个人吃饭</x:v>
      </x:c>
      <x:c r="Y49" s="16" t="str">
        <x:v>粉面爱好者</x:v>
      </x:c>
      <x:c r="Z49" s="16" t="str">
        <x:v>不吃粉人群</x:v>
      </x:c>
      <x:c r="AA49" s="16" t="str">
        <x:v>汤粉,饱腹</x:v>
      </x:c>
      <x:c r="AB49" s="16" t="str">
        <x:v>无明显</x:v>
      </x:c>
      <x:c r="AC49" s="16" t="str">
        <x:v>否</x:v>
      </x:c>
      <x:c r="AD49" s="16" t="str">
        <x:v>原汤牛肉粉，辣度可选。</x:v>
      </x:c>
      <x:c r="AE49" s="16" t="str">
        <x:v>牛肉、米粉、原汤</x:v>
      </x:c>
      <x:c r="AF49" s="16" t="str">
        <x:v>加卤牛腱</x:v>
      </x:c>
      <x:c r="AG49" s="16" t="str">
        <x:v>原汤牛肉粉：原汤牛肉粉，辣度可选。 售价27.9元，规格牛肉粉1碗，适合正常吃饭,一个人吃饭，口味正常/可选。</x:v>
      </x:c>
      <x:c r="AH49" s="16" t="str">
        <x:v>测试辣度可选</x:v>
      </x:c>
    </x:row>
    <x:row r="50">
      <x:c r="A50" s="16" t="str">
        <x:v>P049</x:v>
      </x:c>
      <x:c r="B50" s="16" t="str">
        <x:v>家庭饺子牛丸组合</x:v>
      </x:c>
      <x:c r="C50" s="16" t="str">
        <x:v>家庭套餐</x:v>
      </x:c>
      <x:c r="D50" s="16" t="str">
        <x:v>家庭套餐</x:v>
      </x:c>
      <x:c r="E50" s="16" t="str">
        <x:v>是</x:v>
      </x:c>
      <x:c r="F50" s="18" t="n">
        <x:v>68</x:v>
      </x:c>
      <x:c r="G50" s="18" t="n">
        <x:v>36</x:v>
      </x:c>
      <x:c r="H50" s="20" t="n">
        <x:f>IFERROR((F50-G50)/F50,0)</x:f>
        <x:v>0.47058823529411764</x:v>
      </x:c>
      <x:c r="I50" s="16" t="str">
        <x:v>水饺2盒+牛筋丸1包</x:v>
      </x:c>
      <x:c r="J50" s="16" t="str">
        <x:v>套</x:v>
      </x:c>
      <x:c r="K50" s="22" t="n">
        <x:v>2</x:v>
      </x:c>
      <x:c r="L50" s="22" t="n">
        <x:v>4</x:v>
      </x:c>
      <x:c r="M50" s="22" t="n">
        <x:v>60</x:v>
      </x:c>
      <x:c r="N50" s="22" t="n">
        <x:v>85</x:v>
      </x:c>
      <x:c r="O50" s="22" t="n">
        <x:v>32</x:v>
      </x:c>
      <x:c r="P50" s="22" t="str">
        <x:v>上架</x:v>
      </x:c>
      <x:c r="Q50" s="22" t="n">
        <x:v>8</x:v>
      </x:c>
      <x:c r="R50" s="22" t="n">
        <x:v>8</x:v>
      </x:c>
      <x:c r="S50" s="16" t="str">
        <x:v>否</x:v>
      </x:c>
      <x:c r="T50" s="16" t="str">
        <x:v>是</x:v>
      </x:c>
      <x:c r="U50" s="16" t="str">
        <x:v>是</x:v>
      </x:c>
      <x:c r="V50" s="16" t="str">
        <x:v>清淡</x:v>
      </x:c>
      <x:c r="W50" s="16" t="str">
        <x:v>不辣</x:v>
      </x:c>
      <x:c r="X50" s="16" t="str">
        <x:v>孩子吃,家庭备餐</x:v>
      </x:c>
      <x:c r="Y50" s="16" t="str">
        <x:v>家庭,孩子</x:v>
      </x:c>
      <x:c r="Z50" s="16" t="str">
        <x:v>不吃面食人群</x:v>
      </x:c>
      <x:c r="AA50" s="16" t="str">
        <x:v>不辣,家庭</x:v>
      </x:c>
      <x:c r="AB50" s="16" t="str">
        <x:v>含面食</x:v>
      </x:c>
      <x:c r="AC50" s="16" t="str">
        <x:v>是</x:v>
      </x:c>
      <x:c r="AD50" s="16" t="str">
        <x:v>适合家庭晚餐的水饺牛丸组合。</x:v>
      </x:c>
      <x:c r="AE50" s="16" t="str">
        <x:v>儿童牛肉水饺2盒、低脂牛筋丸1包</x:v>
      </x:c>
      <x:c r="AF50" s="16" t="str">
        <x:v>加牛肉酱</x:v>
      </x:c>
      <x:c r="AG50" s="16" t="str">
        <x:v>家庭饺子牛丸组合：适合家庭晚餐的水饺牛丸组合。 售价68.0元，规格水饺2盒+牛筋丸1包，适合孩子吃,家庭备餐，口味清淡/不辣。</x:v>
      </x:c>
      <x:c r="AH50" s="16" t="str">
        <x:v>测试家庭儿童</x:v>
      </x:c>
    </x:row>
    <x:row r="51">
      <x:c r="A51" s="16" t="str">
        <x:v>P050</x:v>
      </x:c>
      <x:c r="B51" s="16" t="str">
        <x:v>一人豪华烤肉体验盒</x:v>
      </x:c>
      <x:c r="C51" s="16" t="str">
        <x:v>生鲜烤肉</x:v>
      </x:c>
      <x:c r="D51" s="16" t="str">
        <x:v>烤肉组合</x:v>
      </x:c>
      <x:c r="E51" s="16" t="str">
        <x:v>是</x:v>
      </x:c>
      <x:c r="F51" s="18" t="n">
        <x:v>79</x:v>
      </x:c>
      <x:c r="G51" s="18" t="n">
        <x:v>48</x:v>
      </x:c>
      <x:c r="H51" s="20" t="n">
        <x:f>IFERROR((F51-G51)/F51,0)</x:f>
        <x:v>0.3924050632911392</x:v>
      </x:c>
      <x:c r="I51" s="16" t="str">
        <x:v>烤肉3盒+蘸料</x:v>
      </x:c>
      <x:c r="J51" s="16" t="str">
        <x:v>套</x:v>
      </x:c>
      <x:c r="K51" s="22" t="n">
        <x:v>1</x:v>
      </x:c>
      <x:c r="L51" s="22" t="n">
        <x:v>1</x:v>
      </x:c>
      <x:c r="M51" s="22" t="n">
        <x:v>70</x:v>
      </x:c>
      <x:c r="N51" s="22" t="n">
        <x:v>90</x:v>
      </x:c>
      <x:c r="O51" s="22" t="n">
        <x:v>15</x:v>
      </x:c>
      <x:c r="P51" s="22" t="str">
        <x:v>上架</x:v>
      </x:c>
      <x:c r="Q51" s="22" t="n">
        <x:v>8</x:v>
      </x:c>
      <x:c r="R51" s="22" t="n">
        <x:v>12</x:v>
      </x:c>
      <x:c r="S51" s="16" t="str">
        <x:v>否</x:v>
      </x:c>
      <x:c r="T51" s="16" t="str">
        <x:v>是</x:v>
      </x:c>
      <x:c r="U51" s="16" t="str">
        <x:v>否</x:v>
      </x:c>
      <x:c r="V51" s="16" t="str">
        <x:v>正常</x:v>
      </x:c>
      <x:c r="W51" s="16" t="str">
        <x:v>可选</x:v>
      </x:c>
      <x:c r="X51" s="16" t="str">
        <x:v>烤肉聚餐,高品质尝鲜</x:v>
      </x:c>
      <x:c r="Y51" s="16" t="str">
        <x:v>单人烤肉顾客</x:v>
      </x:c>
      <x:c r="Z51" s="16" t="str">
        <x:v>不做饭顾客</x:v>
      </x:c>
      <x:c r="AA51" s="16" t="str">
        <x:v>烤肉,单人</x:v>
      </x:c>
      <x:c r="AB51" s="16" t="str">
        <x:v>需充分加热</x:v>
      </x:c>
      <x:c r="AC51" s="16" t="str">
        <x:v>是</x:v>
      </x:c>
      <x:c r="AD51" s="16" t="str">
        <x:v>一个人也能吃的烤肉组合。</x:v>
      </x:c>
      <x:c r="AE51" s="16" t="str">
        <x:v>板腱薄片、肥牛卷、牛仔骨、蘸料</x:v>
      </x:c>
      <x:c r="AF51" s="16" t="str">
        <x:v>加生菜包</x:v>
      </x:c>
      <x:c r="AG51" s="16" t="str">
        <x:v>一人豪华烤肉体验盒：一个人也能吃的烤肉组合。 售价79.0元，规格烤肉3盒+蘸料，适合烤肉聚餐,高品质尝鲜，口味正常/可选。</x:v>
      </x:c>
      <x:c r="AH51" s="16" t="str">
        <x:v>测试单人烤肉</x:v>
      </x:c>
    </x:row>
    <x:row r="52">
      <x:c r="A52" s="16" t="str">
        <x:v>P051</x:v>
      </x:c>
      <x:c r="B52" s="16" t="str">
        <x:v>二人轻烤组合</x:v>
      </x:c>
      <x:c r="C52" s="16" t="str">
        <x:v>家庭套餐</x:v>
      </x:c>
      <x:c r="D52" s="16" t="str">
        <x:v>烤肉套餐</x:v>
      </x:c>
      <x:c r="E52" s="16" t="str">
        <x:v>是</x:v>
      </x:c>
      <x:c r="F52" s="18" t="n">
        <x:v>118</x:v>
      </x:c>
      <x:c r="G52" s="18" t="n">
        <x:v>72</x:v>
      </x:c>
      <x:c r="H52" s="20" t="n">
        <x:f>IFERROR((F52-G52)/F52,0)</x:f>
        <x:v>0.3898305084745763</x:v>
      </x:c>
      <x:c r="I52" s="16" t="str">
        <x:v>烤肉4盒+生菜蘸料</x:v>
      </x:c>
      <x:c r="J52" s="16" t="str">
        <x:v>套</x:v>
      </x:c>
      <x:c r="K52" s="22" t="n">
        <x:v>2</x:v>
      </x:c>
      <x:c r="L52" s="22" t="n">
        <x:v>2</x:v>
      </x:c>
      <x:c r="M52" s="22" t="n">
        <x:v>100</x:v>
      </x:c>
      <x:c r="N52" s="22" t="n">
        <x:v>140</x:v>
      </x:c>
      <x:c r="O52" s="22" t="n">
        <x:v>13</x:v>
      </x:c>
      <x:c r="P52" s="22" t="str">
        <x:v>上架</x:v>
      </x:c>
      <x:c r="Q52" s="22" t="n">
        <x:v>8</x:v>
      </x:c>
      <x:c r="R52" s="22" t="n">
        <x:v>15</x:v>
      </x:c>
      <x:c r="S52" s="16" t="str">
        <x:v>否</x:v>
      </x:c>
      <x:c r="T52" s="16" t="str">
        <x:v>是</x:v>
      </x:c>
      <x:c r="U52" s="16" t="str">
        <x:v>否</x:v>
      </x:c>
      <x:c r="V52" s="16" t="str">
        <x:v>正常</x:v>
      </x:c>
      <x:c r="W52" s="16" t="str">
        <x:v>可选</x:v>
      </x:c>
      <x:c r="X52" s="16" t="str">
        <x:v>烤肉聚餐</x:v>
      </x:c>
      <x:c r="Y52" s="16" t="str">
        <x:v>情侣,朋友2人</x:v>
      </x:c>
      <x:c r="Z52" s="16" t="str">
        <x:v>单人顾客</x:v>
      </x:c>
      <x:c r="AA52" s="16" t="str">
        <x:v>烤肉,二人</x:v>
      </x:c>
      <x:c r="AB52" s="16" t="str">
        <x:v>需充分加热</x:v>
      </x:c>
      <x:c r="AC52" s="16" t="str">
        <x:v>是</x:v>
      </x:c>
      <x:c r="AD52" s="16" t="str">
        <x:v>适合两个人的轻量烤肉组合。</x:v>
      </x:c>
      <x:c r="AE52" s="16" t="str">
        <x:v>板腱、肥牛、牛仔骨、生菜蘸料</x:v>
      </x:c>
      <x:c r="AF52" s="16" t="str">
        <x:v>加牛肉丸</x:v>
      </x:c>
      <x:c r="AG52" s="16" t="str">
        <x:v>二人轻烤组合：适合两个人的轻量烤肉组合。 售价118.0元，规格烤肉4盒+生菜蘸料，适合烤肉聚餐，口味正常/可选。</x:v>
      </x:c>
      <x:c r="AH52" s="16" t="str">
        <x:v>测试二人套餐</x:v>
      </x:c>
    </x:row>
    <x:row r="53">
      <x:c r="A53" s="16" t="str">
        <x:v>P052</x:v>
      </x:c>
      <x:c r="B53" s="16" t="str">
        <x:v>牛肉丸火锅补充包</x:v>
      </x:c>
      <x:c r="C53" s="16" t="str">
        <x:v>加购配菜</x:v>
      </x:c>
      <x:c r="D53" s="16" t="str">
        <x:v>火锅加购</x:v>
      </x:c>
      <x:c r="E53" s="16" t="str">
        <x:v>否</x:v>
      </x:c>
      <x:c r="F53" s="18" t="n">
        <x:v>19.9</x:v>
      </x:c>
      <x:c r="G53" s="18" t="n">
        <x:v>10.5</x:v>
      </x:c>
      <x:c r="H53" s="20" t="n">
        <x:f>IFERROR((F53-G53)/F53,0)</x:f>
        <x:v>0.47236180904522607</x:v>
      </x:c>
      <x:c r="I53" s="16" t="str">
        <x:v>牛肉丸150g</x:v>
      </x:c>
      <x:c r="J53" s="16" t="str">
        <x:v>包</x:v>
      </x:c>
      <x:c r="K53" s="22" t="n">
        <x:v>2</x:v>
      </x:c>
      <x:c r="L53" s="22" t="n">
        <x:v>4</x:v>
      </x:c>
      <x:c r="M53" s="22" t="n">
        <x:v>18</x:v>
      </x:c>
      <x:c r="N53" s="22" t="n">
        <x:v>35</x:v>
      </x:c>
      <x:c r="O53" s="22" t="n">
        <x:v>52</x:v>
      </x:c>
      <x:c r="P53" s="22" t="str">
        <x:v>上架</x:v>
      </x:c>
      <x:c r="Q53" s="22" t="n">
        <x:v>6</x:v>
      </x:c>
      <x:c r="R53" s="22" t="n">
        <x:v>0</x:v>
      </x:c>
      <x:c r="S53" s="16" t="str">
        <x:v>否</x:v>
      </x:c>
      <x:c r="T53" s="16" t="str">
        <x:v>是</x:v>
      </x:c>
      <x:c r="U53" s="16" t="str">
        <x:v>否</x:v>
      </x:c>
      <x:c r="V53" s="16" t="str">
        <x:v>清淡</x:v>
      </x:c>
      <x:c r="W53" s="16" t="str">
        <x:v>不辣</x:v>
      </x:c>
      <x:c r="X53" s="16" t="str">
        <x:v>家庭备餐,加购</x:v>
      </x:c>
      <x:c r="Y53" s="16" t="str">
        <x:v>火锅顾客,家庭</x:v>
      </x:c>
      <x:c r="Z53" s="16" t="str">
        <x:v>不吃丸类人群</x:v>
      </x:c>
      <x:c r="AA53" s="16" t="str">
        <x:v>火锅,加购</x:v>
      </x:c>
      <x:c r="AB53" s="16" t="str">
        <x:v>可能含淀粉</x:v>
      </x:c>
      <x:c r="AC53" s="16" t="str">
        <x:v>是</x:v>
      </x:c>
      <x:c r="AD53" s="16" t="str">
        <x:v>火锅加购牛肉丸补充包。</x:v>
      </x:c>
      <x:c r="AE53" s="16" t="str">
        <x:v>牛肉丸</x:v>
      </x:c>
      <x:c r="AF53" s="16" t="str">
        <x:v>搭配肥牛卷</x:v>
      </x:c>
      <x:c r="AG53" s="16" t="str">
        <x:v>牛肉丸火锅补充包：火锅加购牛肉丸补充包。 售价19.9元，规格牛肉丸150g，适合家庭备餐,加购，口味清淡/不辣。</x:v>
      </x:c>
      <x:c r="AH53" s="16" t="str">
        <x:v>测试火锅加购</x:v>
      </x:c>
    </x:row>
    <x:row r="54">
      <x:c r="A54" s="16" t="str">
        <x:v>P053</x:v>
      </x:c>
      <x:c r="B54" s="16" t="str">
        <x:v>妈妈省心晚餐包</x:v>
      </x:c>
      <x:c r="C54" s="16" t="str">
        <x:v>家庭套餐</x:v>
      </x:c>
      <x:c r="D54" s="16" t="str">
        <x:v>家庭套餐</x:v>
      </x:c>
      <x:c r="E54" s="16" t="str">
        <x:v>是</x:v>
      </x:c>
      <x:c r="F54" s="18" t="n">
        <x:v>98</x:v>
      </x:c>
      <x:c r="G54" s="18" t="n">
        <x:v>57</x:v>
      </x:c>
      <x:c r="H54" s="20" t="n">
        <x:f>IFERROR((F54-G54)/F54,0)</x:f>
        <x:v>0.41836734693877553</x:v>
      </x:c>
      <x:c r="I54" s="16" t="str">
        <x:v>牛肉饭2份+汤2份+蔬菜</x:v>
      </x:c>
      <x:c r="J54" s="16" t="str">
        <x:v>套</x:v>
      </x:c>
      <x:c r="K54" s="22" t="n">
        <x:v>2</x:v>
      </x:c>
      <x:c r="L54" s="22" t="n">
        <x:v>3</x:v>
      </x:c>
      <x:c r="M54" s="22" t="n">
        <x:v>90</x:v>
      </x:c>
      <x:c r="N54" s="22" t="n">
        <x:v>120</x:v>
      </x:c>
      <x:c r="O54" s="22" t="n">
        <x:v>18</x:v>
      </x:c>
      <x:c r="P54" s="22" t="str">
        <x:v>上架</x:v>
      </x:c>
      <x:c r="Q54" s="22" t="n">
        <x:v>9</x:v>
      </x:c>
      <x:c r="R54" s="22" t="n">
        <x:v>10</x:v>
      </x:c>
      <x:c r="S54" s="16" t="str">
        <x:v>是</x:v>
      </x:c>
      <x:c r="T54" s="16" t="str">
        <x:v>是</x:v>
      </x:c>
      <x:c r="U54" s="16" t="str">
        <x:v>是</x:v>
      </x:c>
      <x:c r="V54" s="16" t="str">
        <x:v>正常</x:v>
      </x:c>
      <x:c r="W54" s="16" t="str">
        <x:v>不辣</x:v>
      </x:c>
      <x:c r="X54" s="16" t="str">
        <x:v>一家人备餐,孩子吃</x:v>
      </x:c>
      <x:c r="Y54" s="16" t="str">
        <x:v>家庭,二胎家庭,孩子</x:v>
      </x:c>
      <x:c r="Z54" s="16" t="str">
        <x:v>想吃辣人群</x:v>
      </x:c>
      <x:c r="AA54" s="16" t="str">
        <x:v>省心,不辣</x:v>
      </x:c>
      <x:c r="AB54" s="16" t="str">
        <x:v>含米饭、鸡蛋可能</x:v>
      </x:c>
      <x:c r="AC54" s="16" t="str">
        <x:v>否</x:v>
      </x:c>
      <x:c r="AD54" s="16" t="str">
        <x:v>两到三人的省心晚餐组合，不辣好接受。</x:v>
      </x:c>
      <x:c r="AE54" s="16" t="str">
        <x:v>番茄牛腩饭、黑椒牛肉饭、牛肉丸汤、蔬菜</x:v>
      </x:c>
      <x:c r="AF54" s="16" t="str">
        <x:v>加牛肉饼</x:v>
      </x:c>
      <x:c r="AG54" s="16" t="str">
        <x:v>妈妈省心晚餐包：两到三人的省心晚餐组合，不辣好接受。 售价98.0元，规格牛肉饭2份+汤2份+蔬菜，适合一家人备餐,孩子吃，口味正常/不辣。</x:v>
      </x:c>
      <x:c r="AH54" s="16" t="str">
        <x:v>测试家庭晚餐</x:v>
      </x:c>
    </x:row>
    <x:row r="55">
      <x:c r="A55" s="16" t="str">
        <x:v>P054</x:v>
      </x:c>
      <x:c r="B55" s="16" t="str">
        <x:v>白领午餐双拼饭</x:v>
      </x:c>
      <x:c r="C55" s="16" t="str">
        <x:v>主食饭面</x:v>
      </x:c>
      <x:c r="D55" s="16" t="str">
        <x:v>盖饭</x:v>
      </x:c>
      <x:c r="E55" s="16" t="str">
        <x:v>否</x:v>
      </x:c>
      <x:c r="F55" s="18" t="n">
        <x:v>38.9</x:v>
      </x:c>
      <x:c r="G55" s="18" t="n">
        <x:v>21.5</x:v>
      </x:c>
      <x:c r="H55" s="20" t="n">
        <x:f>IFERROR((F55-G55)/F55,0)</x:f>
        <x:v>0.4473007712082262</x:v>
      </x:c>
      <x:c r="I55" s="16" t="str">
        <x:v>牛肉+鸡胸双拼饭</x:v>
      </x:c>
      <x:c r="J55" s="16" t="str">
        <x:v>份</x:v>
      </x:c>
      <x:c r="K55" s="22" t="n">
        <x:v>1</x:v>
      </x:c>
      <x:c r="L55" s="22" t="n">
        <x:v>1</x:v>
      </x:c>
      <x:c r="M55" s="22" t="n">
        <x:v>35</x:v>
      </x:c>
      <x:c r="N55" s="22" t="n">
        <x:v>55</x:v>
      </x:c>
      <x:c r="O55" s="22" t="n">
        <x:v>27</x:v>
      </x:c>
      <x:c r="P55" s="22" t="str">
        <x:v>上架</x:v>
      </x:c>
      <x:c r="Q55" s="22" t="n">
        <x:v>8</x:v>
      </x:c>
      <x:c r="R55" s="22" t="n">
        <x:v>6</x:v>
      </x:c>
      <x:c r="S55" s="16" t="str">
        <x:v>是</x:v>
      </x:c>
      <x:c r="T55" s="16" t="str">
        <x:v>是</x:v>
      </x:c>
      <x:c r="U55" s="16" t="str">
        <x:v>是</x:v>
      </x:c>
      <x:c r="V55" s="16" t="str">
        <x:v>清淡</x:v>
      </x:c>
      <x:c r="W55" s="16" t="str">
        <x:v>不辣</x:v>
      </x:c>
      <x:c r="X55" s="16" t="str">
        <x:v>减脂高蛋白,正常吃饭</x:v>
      </x:c>
      <x:c r="Y55" s="16" t="str">
        <x:v>白领,减脂人群</x:v>
      </x:c>
      <x:c r="Z55" s="16" t="str">
        <x:v>重口味人群</x:v>
      </x:c>
      <x:c r="AA55" s="16" t="str">
        <x:v>高蛋白,饱腹</x:v>
      </x:c>
      <x:c r="AB55" s="16" t="str">
        <x:v>含鸡肉</x:v>
      </x:c>
      <x:c r="AC55" s="16" t="str">
        <x:v>否</x:v>
      </x:c>
      <x:c r="AD55" s="16" t="str">
        <x:v>牛肉和鸡胸双拼，适合中午吃饱不油腻。</x:v>
      </x:c>
      <x:c r="AE55" s="16" t="str">
        <x:v>牛肉片、鸡胸肉、米饭、蔬菜</x:v>
      </x:c>
      <x:c r="AF55" s="16" t="str">
        <x:v>加番茄汤</x:v>
      </x:c>
      <x:c r="AG55" s="16" t="str">
        <x:v>白领午餐双拼饭：牛肉和鸡胸双拼，适合中午吃饱不油腻。 售价38.9元，规格牛肉+鸡胸双拼饭，适合减脂高蛋白,正常吃饭，口味清淡/不辣。</x:v>
      </x:c>
      <x:c r="AH55" s="16" t="str">
        <x:v>测试双拼</x:v>
      </x:c>
    </x:row>
    <x:row r="56">
      <x:c r="A56" s="16" t="str">
        <x:v>P055</x:v>
      </x:c>
      <x:c r="B56" s="16" t="str">
        <x:v>深夜解馋麻辣三件套</x:v>
      </x:c>
      <x:c r="C56" s="16" t="str">
        <x:v>家庭套餐</x:v>
      </x:c>
      <x:c r="D56" s="16" t="str">
        <x:v>解馋套餐</x:v>
      </x:c>
      <x:c r="E56" s="16" t="str">
        <x:v>是</x:v>
      </x:c>
      <x:c r="F56" s="18" t="n">
        <x:v>69.9</x:v>
      </x:c>
      <x:c r="G56" s="18" t="n">
        <x:v>36.5</x:v>
      </x:c>
      <x:c r="H56" s="20" t="n">
        <x:f>IFERROR((F56-G56)/F56,0)</x:f>
        <x:v>0.4778254649499285</x:v>
      </x:c>
      <x:c r="I56" s="16" t="str">
        <x:v>牙签牛肉+牛肉条+牛肉酱</x:v>
      </x:c>
      <x:c r="J56" s="16" t="str">
        <x:v>套</x:v>
      </x:c>
      <x:c r="K56" s="22" t="n">
        <x:v>2</x:v>
      </x:c>
      <x:c r="L56" s="22" t="n">
        <x:v>3</x:v>
      </x:c>
      <x:c r="M56" s="22" t="n">
        <x:v>60</x:v>
      </x:c>
      <x:c r="N56" s="22" t="n">
        <x:v>85</x:v>
      </x:c>
      <x:c r="O56" s="22" t="n">
        <x:v>14</x:v>
      </x:c>
      <x:c r="P56" s="22" t="str">
        <x:v>上架</x:v>
      </x:c>
      <x:c r="Q56" s="22" t="n">
        <x:v>9</x:v>
      </x:c>
      <x:c r="R56" s="22" t="n">
        <x:v>0</x:v>
      </x:c>
      <x:c r="S56" s="16" t="str">
        <x:v>是</x:v>
      </x:c>
      <x:c r="T56" s="16" t="str">
        <x:v>是</x:v>
      </x:c>
      <x:c r="U56" s="16" t="str">
        <x:v>是</x:v>
      </x:c>
      <x:c r="V56" s="16" t="str">
        <x:v>重口味</x:v>
      </x:c>
      <x:c r="W56" s="16" t="str">
        <x:v>麻辣</x:v>
      </x:c>
      <x:c r="X56" s="16" t="str">
        <x:v>想吃辣解馋,下酒</x:v>
      </x:c>
      <x:c r="Y56" s="16" t="str">
        <x:v>爱吃辣人群,夜宵顾客</x:v>
      </x:c>
      <x:c r="Z56" s="16" t="str">
        <x:v>孩子,不吃辣人群,减脂严格人群</x:v>
      </x:c>
      <x:c r="AA56" s="16" t="str">
        <x:v>麻辣,即食</x:v>
      </x:c>
      <x:c r="AB56" s="16" t="str">
        <x:v>含辣椒、花椒</x:v>
      </x:c>
      <x:c r="AC56" s="16" t="str">
        <x:v>否</x:v>
      </x:c>
      <x:c r="AD56" s="16" t="str">
        <x:v>三款麻辣牛肉组合，适合分享和夜宵。</x:v>
      </x:c>
      <x:c r="AE56" s="16" t="str">
        <x:v>大块牙签牛肉、微辣牛肉条、牛肉酱</x:v>
      </x:c>
      <x:c r="AF56" s="16" t="str">
        <x:v>加汤品解辣</x:v>
      </x:c>
      <x:c r="AG56" s="16" t="str">
        <x:v>深夜解馋麻辣三件套：三款麻辣牛肉组合，适合分享和夜宵。 售价69.9元，规格牙签牛肉+牛肉条+牛肉酱，适合想吃辣解馋,下酒，口味重口味/麻辣。</x:v>
      </x:c>
      <x:c r="AH56" s="16" t="str">
        <x:v>测试解馋套餐</x:v>
      </x:c>
    </x:row>
    <x:row r="57">
      <x:c r="A57" s="16" t="str">
        <x:v>P056</x:v>
      </x:c>
      <x:c r="B57" s="16" t="str">
        <x:v>老人软烂牛腩汤</x:v>
      </x:c>
      <x:c r="C57" s="16" t="str">
        <x:v>汤品</x:v>
      </x:c>
      <x:c r="D57" s="16" t="str">
        <x:v>汤</x:v>
      </x:c>
      <x:c r="E57" s="16" t="str">
        <x:v>否</x:v>
      </x:c>
      <x:c r="F57" s="18" t="n">
        <x:v>26.9</x:v>
      </x:c>
      <x:c r="G57" s="18" t="n">
        <x:v>14</x:v>
      </x:c>
      <x:c r="H57" s="20" t="n">
        <x:f>IFERROR((F57-G57)/F57,0)</x:f>
        <x:v>0.4795539033457249</x:v>
      </x:c>
      <x:c r="I57" s="16" t="str">
        <x:v>牛腩80g+清汤</x:v>
      </x:c>
      <x:c r="J57" s="16" t="str">
        <x:v>碗</x:v>
      </x:c>
      <x:c r="K57" s="22" t="n">
        <x:v>1</x:v>
      </x:c>
      <x:c r="L57" s="22" t="n">
        <x:v>1</x:v>
      </x:c>
      <x:c r="M57" s="22" t="n">
        <x:v>25</x:v>
      </x:c>
      <x:c r="N57" s="22" t="n">
        <x:v>40</x:v>
      </x:c>
      <x:c r="O57" s="22" t="n">
        <x:v>19</x:v>
      </x:c>
      <x:c r="P57" s="22" t="str">
        <x:v>上架</x:v>
      </x:c>
      <x:c r="Q57" s="22" t="n">
        <x:v>7</x:v>
      </x:c>
      <x:c r="R57" s="22" t="n">
        <x:v>6</x:v>
      </x:c>
      <x:c r="S57" s="16" t="str">
        <x:v>是</x:v>
      </x:c>
      <x:c r="T57" s="16" t="str">
        <x:v>是</x:v>
      </x:c>
      <x:c r="U57" s="16" t="str">
        <x:v>是</x:v>
      </x:c>
      <x:c r="V57" s="16" t="str">
        <x:v>清淡</x:v>
      </x:c>
      <x:c r="W57" s="16" t="str">
        <x:v>不辣</x:v>
      </x:c>
      <x:c r="X57" s="16" t="str">
        <x:v>老人友好,正常吃饭</x:v>
      </x:c>
      <x:c r="Y57" s="16" t="str">
        <x:v>老人,不吃辣人群</x:v>
      </x:c>
      <x:c r="Z57" s="16" t="str">
        <x:v>牙口特别差者需确认</x:v>
      </x:c>
      <x:c r="AA57" s="16" t="str">
        <x:v>软烂,汤品</x:v>
      </x:c>
      <x:c r="AB57" s="16" t="str">
        <x:v>无</x:v>
      </x:c>
      <x:c r="AC57" s="16" t="str">
        <x:v>否</x:v>
      </x:c>
      <x:c r="AD57" s="16" t="str">
        <x:v>牛腩炖得软烂，汤底清淡。</x:v>
      </x:c>
      <x:c r="AE57" s="16" t="str">
        <x:v>牛腩、清汤、白萝卜</x:v>
      </x:c>
      <x:c r="AF57" s="16" t="str">
        <x:v>搭配米饭</x:v>
      </x:c>
      <x:c r="AG57" s="16" t="str">
        <x:v>老人软烂牛腩汤：牛腩炖得软烂，汤底清淡。 售价26.9元，规格牛腩80g+清汤，适合老人友好,正常吃饭，口味清淡/不辣。</x:v>
      </x:c>
      <x:c r="AH57" s="16" t="str">
        <x:v>测试老人友好</x:v>
      </x:c>
    </x:row>
    <x:row r="58">
      <x:c r="A58" s="16" t="str">
        <x:v>P057</x:v>
      </x:c>
      <x:c r="B58" s="16" t="str">
        <x:v>学生实惠牛肉饭套餐</x:v>
      </x:c>
      <x:c r="C58" s="16" t="str">
        <x:v>家庭套餐</x:v>
      </x:c>
      <x:c r="D58" s="16" t="str">
        <x:v>单人套餐</x:v>
      </x:c>
      <x:c r="E58" s="16" t="str">
        <x:v>是</x:v>
      </x:c>
      <x:c r="F58" s="18" t="n">
        <x:v>29.9</x:v>
      </x:c>
      <x:c r="G58" s="18" t="n">
        <x:v>15</x:v>
      </x:c>
      <x:c r="H58" s="20" t="n">
        <x:f>IFERROR((F58-G58)/F58,0)</x:f>
        <x:v>0.4983277591973244</x:v>
      </x:c>
      <x:c r="I58" s="16" t="str">
        <x:v>牛肉饭+小汤</x:v>
      </x:c>
      <x:c r="J58" s="16" t="str">
        <x:v>套</x:v>
      </x:c>
      <x:c r="K58" s="22" t="n">
        <x:v>1</x:v>
      </x:c>
      <x:c r="L58" s="22" t="n">
        <x:v>1</x:v>
      </x:c>
      <x:c r="M58" s="22" t="n">
        <x:v>25</x:v>
      </x:c>
      <x:c r="N58" s="22" t="n">
        <x:v>35</x:v>
      </x:c>
      <x:c r="O58" s="22" t="n">
        <x:v>40</x:v>
      </x:c>
      <x:c r="P58" s="22" t="str">
        <x:v>上架</x:v>
      </x:c>
      <x:c r="Q58" s="22" t="n">
        <x:v>9</x:v>
      </x:c>
      <x:c r="R58" s="22" t="n">
        <x:v>5</x:v>
      </x:c>
      <x:c r="S58" s="16" t="str">
        <x:v>是</x:v>
      </x:c>
      <x:c r="T58" s="16" t="str">
        <x:v>是</x:v>
      </x:c>
      <x:c r="U58" s="16" t="str">
        <x:v>是</x:v>
      </x:c>
      <x:c r="V58" s="16" t="str">
        <x:v>正常</x:v>
      </x:c>
      <x:c r="W58" s="16" t="str">
        <x:v>不辣</x:v>
      </x:c>
      <x:c r="X58" s="16" t="str">
        <x:v>一个人吃饭,正常吃饭</x:v>
      </x:c>
      <x:c r="Y58" s="16" t="str">
        <x:v>学生,预算低顾客</x:v>
      </x:c>
      <x:c r="Z58" s="16" t="str">
        <x:v>高品质尝鲜顾客</x:v>
      </x:c>
      <x:c r="AA58" s="16" t="str">
        <x:v>实惠,饱腹</x:v>
      </x:c>
      <x:c r="AB58" s="16" t="str">
        <x:v>无</x:v>
      </x:c>
      <x:c r="AC58" s="16" t="str">
        <x:v>否</x:v>
      </x:c>
      <x:c r="AD58" s="16" t="str">
        <x:v>一人实惠套餐，价格友好。</x:v>
      </x:c>
      <x:c r="AE58" s="16" t="str">
        <x:v>迷你牛肉饭、牛肉丸小汤</x:v>
      </x:c>
      <x:c r="AF58" s="16" t="str">
        <x:v>加煎蛋</x:v>
      </x:c>
      <x:c r="AG58" s="16" t="str">
        <x:v>学生实惠牛肉饭套餐：一人实惠套餐，价格友好。 售价29.9元，规格牛肉饭+小汤，适合一个人吃饭,正常吃饭，口味正常/不辣。</x:v>
      </x:c>
      <x:c r="AH58" s="16" t="str">
        <x:v>测试低预算套餐</x:v>
      </x:c>
    </x:row>
    <x:row r="59">
      <x:c r="A59" s="16" t="str">
        <x:v>P058</x:v>
      </x:c>
      <x:c r="B59" s="16" t="str">
        <x:v>高客单和牛尝鲜双人餐</x:v>
      </x:c>
      <x:c r="C59" s="16" t="str">
        <x:v>家庭套餐</x:v>
      </x:c>
      <x:c r="D59" s="16" t="str">
        <x:v>高端套餐</x:v>
      </x:c>
      <x:c r="E59" s="16" t="str">
        <x:v>是</x:v>
      </x:c>
      <x:c r="F59" s="18" t="n">
        <x:v>168</x:v>
      </x:c>
      <x:c r="G59" s="18" t="n">
        <x:v>102</x:v>
      </x:c>
      <x:c r="H59" s="20" t="n">
        <x:f>IFERROR((F59-G59)/F59,0)</x:f>
        <x:v>0.39285714285714285</x:v>
      </x:c>
      <x:c r="I59" s="16" t="str">
        <x:v>和牛饭2份+和牛烤肉1盒+汤</x:v>
      </x:c>
      <x:c r="J59" s="16" t="str">
        <x:v>套</x:v>
      </x:c>
      <x:c r="K59" s="22" t="n">
        <x:v>2</x:v>
      </x:c>
      <x:c r="L59" s="22" t="n">
        <x:v>2</x:v>
      </x:c>
      <x:c r="M59" s="22" t="n">
        <x:v>150</x:v>
      </x:c>
      <x:c r="N59" s="22" t="n">
        <x:v>190</x:v>
      </x:c>
      <x:c r="O59" s="22" t="n">
        <x:v>7</x:v>
      </x:c>
      <x:c r="P59" s="22" t="str">
        <x:v>上架</x:v>
      </x:c>
      <x:c r="Q59" s="22" t="n">
        <x:v>7</x:v>
      </x:c>
      <x:c r="R59" s="22" t="n">
        <x:v>15</x:v>
      </x:c>
      <x:c r="S59" s="16" t="str">
        <x:v>是</x:v>
      </x:c>
      <x:c r="T59" s="16" t="str">
        <x:v>是</x:v>
      </x:c>
      <x:c r="U59" s="16" t="str">
        <x:v>否</x:v>
      </x:c>
      <x:c r="V59" s="16" t="str">
        <x:v>正常</x:v>
      </x:c>
      <x:c r="W59" s="16" t="str">
        <x:v>不辣</x:v>
      </x:c>
      <x:c r="X59" s="16" t="str">
        <x:v>高品质尝鲜,二人吃饭</x:v>
      </x:c>
      <x:c r="Y59" s="16" t="str">
        <x:v>情侣,高客单顾客</x:v>
      </x:c>
      <x:c r="Z59" s="16" t="str">
        <x:v>预算低顾客</x:v>
      </x:c>
      <x:c r="AA59" s="16" t="str">
        <x:v>和牛,双人</x:v>
      </x:c>
      <x:c r="AB59" s="16" t="str">
        <x:v>含鸡蛋可能</x:v>
      </x:c>
      <x:c r="AC59" s="16" t="str">
        <x:v>否</x:v>
      </x:c>
      <x:c r="AD59" s="16" t="str">
        <x:v>适合两人尝鲜的和牛组合。</x:v>
      </x:c>
      <x:c r="AE59" s="16" t="str">
        <x:v>纯血和牛蛋白饭2份、M6和牛烤肉片、牛肉丸汤</x:v>
      </x:c>
      <x:c r="AF59" s="16" t="str">
        <x:v>加蒜香牛肉粒</x:v>
      </x:c>
      <x:c r="AG59" s="16" t="str">
        <x:v>高客单和牛尝鲜双人餐：适合两人尝鲜的和牛组合。 售价168.0元，规格和牛饭2份+和牛烤肉1盒+汤，适合高品质尝鲜,二人吃饭，口味正常/不辣。</x:v>
      </x:c>
      <x:c r="AH59" s="16" t="str">
        <x:v>测试高端双人</x:v>
      </x:c>
    </x:row>
    <x:row r="60">
      <x:c r="A60" s="16" t="str">
        <x:v>P059</x:v>
      </x:c>
      <x:c r="B60" s="16" t="str">
        <x:v>健身增肌牛肉盒</x:v>
      </x:c>
      <x:c r="C60" s="16" t="str">
        <x:v>减脂轻食</x:v>
      </x:c>
      <x:c r="D60" s="16" t="str">
        <x:v>增肌餐</x:v>
      </x:c>
      <x:c r="E60" s="16" t="str">
        <x:v>否</x:v>
      </x:c>
      <x:c r="F60" s="18" t="n">
        <x:v>52.9</x:v>
      </x:c>
      <x:c r="G60" s="18" t="n">
        <x:v>29</x:v>
      </x:c>
      <x:c r="H60" s="20" t="n">
        <x:f>IFERROR((F60-G60)/F60,0)</x:f>
        <x:v>0.45179584120982985</x:v>
      </x:c>
      <x:c r="I60" s="16" t="str">
        <x:v>牛肉150g+鸡胸100g+蛋</x:v>
      </x:c>
      <x:c r="J60" s="16" t="str">
        <x:v>份</x:v>
      </x:c>
      <x:c r="K60" s="22" t="n">
        <x:v>1</x:v>
      </x:c>
      <x:c r="L60" s="22" t="n">
        <x:v>1</x:v>
      </x:c>
      <x:c r="M60" s="22" t="n">
        <x:v>50</x:v>
      </x:c>
      <x:c r="N60" s="22" t="n">
        <x:v>70</x:v>
      </x:c>
      <x:c r="O60" s="22" t="n">
        <x:v>16</x:v>
      </x:c>
      <x:c r="P60" s="22" t="str">
        <x:v>上架</x:v>
      </x:c>
      <x:c r="Q60" s="22" t="n">
        <x:v>8</x:v>
      </x:c>
      <x:c r="R60" s="22" t="n">
        <x:v>8</x:v>
      </x:c>
      <x:c r="S60" s="16" t="str">
        <x:v>是</x:v>
      </x:c>
      <x:c r="T60" s="16" t="str">
        <x:v>是</x:v>
      </x:c>
      <x:c r="U60" s="16" t="str">
        <x:v>是</x:v>
      </x:c>
      <x:c r="V60" s="16" t="str">
        <x:v>清淡</x:v>
      </x:c>
      <x:c r="W60" s="16" t="str">
        <x:v>不辣</x:v>
      </x:c>
      <x:c r="X60" s="16" t="str">
        <x:v>减脂高蛋白,健身增肌</x:v>
      </x:c>
      <x:c r="Y60" s="16" t="str">
        <x:v>健身人群,增肌人群</x:v>
      </x:c>
      <x:c r="Z60" s="16" t="str">
        <x:v>不吃鸡蛋/鸡肉人群</x:v>
      </x:c>
      <x:c r="AA60" s="16" t="str">
        <x:v>高蛋白,低油</x:v>
      </x:c>
      <x:c r="AB60" s="16" t="str">
        <x:v>含鸡蛋、鸡肉</x:v>
      </x:c>
      <x:c r="AC60" s="16" t="str">
        <x:v>否</x:v>
      </x:c>
      <x:c r="AD60" s="16" t="str">
        <x:v>牛肉鸡胸鸡蛋组合，蛋白质更足。</x:v>
      </x:c>
      <x:c r="AE60" s="16" t="str">
        <x:v>牛肉、鸡胸、煎蛋、蔬菜</x:v>
      </x:c>
      <x:c r="AF60" s="16" t="str">
        <x:v>加西蓝花</x:v>
      </x:c>
      <x:c r="AG60" s="16" t="str">
        <x:v>健身增肌牛肉盒：牛肉鸡胸鸡蛋组合，蛋白质更足。 售价52.9元，规格牛肉150g+鸡胸100g+蛋，适合减脂高蛋白,健身增肌，口味清淡/不辣。</x:v>
      </x:c>
      <x:c r="AH60" s="16" t="str">
        <x:v>测试健身</x:v>
      </x:c>
    </x:row>
    <x:row r="61">
      <x:c r="A61" s="16" t="str">
        <x:v>P060</x:v>
      </x:c>
      <x:c r="B61" s="16" t="str">
        <x:v>门店隐藏测试商品</x:v>
      </x:c>
      <x:c r="C61" s="16" t="str">
        <x:v>主食饭面</x:v>
      </x:c>
      <x:c r="D61" s="16" t="str">
        <x:v>测试</x:v>
      </x:c>
      <x:c r="E61" s="16" t="str">
        <x:v>否</x:v>
      </x:c>
      <x:c r="F61" s="18" t="n">
        <x:v>9.9</x:v>
      </x:c>
      <x:c r="G61" s="18" t="n">
        <x:v>20</x:v>
      </x:c>
      <x:c r="H61" s="20" t="n">
        <x:f>IFERROR((F61-G61)/F61,0)</x:f>
        <x:v>-1.02020202020202</x:v>
      </x:c>
      <x:c r="I61" s="16" t="str">
        <x:v>异常测试</x:v>
      </x:c>
      <x:c r="J61" s="16" t="str">
        <x:v>份</x:v>
      </x:c>
      <x:c r="K61" s="22" t="n">
        <x:v>1</x:v>
      </x:c>
      <x:c r="L61" s="22" t="n">
        <x:v>1</x:v>
      </x:c>
      <x:c r="M61" s="22" t="n">
        <x:v>5</x:v>
      </x:c>
      <x:c r="N61" s="22" t="n">
        <x:v>15</x:v>
      </x:c>
      <x:c r="O61" s="22" t="n">
        <x:v>5</x:v>
      </x:c>
      <x:c r="P61" s="22" t="str">
        <x:v>测试</x:v>
      </x:c>
      <x:c r="Q61" s="22" t="n">
        <x:v>1</x:v>
      </x:c>
      <x:c r="R61" s="22" t="n">
        <x:v>1</x:v>
      </x:c>
      <x:c r="S61" s="16" t="str">
        <x:v>否</x:v>
      </x:c>
      <x:c r="T61" s="16" t="str">
        <x:v>否</x:v>
      </x:c>
      <x:c r="U61" s="16" t="str">
        <x:v>否</x:v>
      </x:c>
      <x:c r="V61" s="16" t="str">
        <x:v>正常</x:v>
      </x:c>
      <x:c r="W61" s="16" t="str">
        <x:v>不辣</x:v>
      </x:c>
      <x:c r="X61" s="16" t="str">
        <x:v>测试</x:v>
      </x:c>
      <x:c r="Y61" s="16" t="str">
        <x:v>测试人员</x:v>
      </x:c>
      <x:c r="Z61" s="16" t="str">
        <x:v>顾客</x:v>
      </x:c>
      <x:c r="AA61" s="16" t="str">
        <x:v>异常数据</x:v>
      </x:c>
      <x:c r="AB61" s="16" t="str">
        <x:v>无</x:v>
      </x:c>
      <x:c r="AC61" s="16" t="str">
        <x:v>否</x:v>
      </x:c>
      <x:c r="AD61" s="16" t="str">
        <x:v>用于测试负毛利和测试状态过滤，不应对顾客展示。</x:v>
      </x:c>
      <x:c r="AE61" s="16" t="str">
        <x:v>测试原料</x:v>
      </x:c>
      <x:c r="AF61" s="16" t="str">
        <x:v>无</x:v>
      </x:c>
      <x:c r="AG61" s="16" t="str">
        <x:v>门店隐藏测试商品：用于测试负毛利和测试状态过滤，不应对顾客展示。 售价9.9元，规格异常测试，适合测试，口味正常/不辣。</x:v>
      </x:c>
      <x:c r="AH61" s="16" t="str">
        <x:v>测试异常毛利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34" hidden="0" customWidth="1"/>
    <x:col min="5" max="5" width="34" hidden="0" customWidth="1"/>
    <x:col min="6" max="6" width="38" hidden="0" customWidth="1"/>
  </x:cols>
  <x:sheetData>
    <x:row r="1">
      <x:c r="A1" s="8" t="str">
        <x:v>规则ID</x:v>
      </x:c>
      <x:c r="B1" s="8" t="str">
        <x:v>用户条件</x:v>
      </x:c>
      <x:c r="C1" s="8" t="str">
        <x:v>后台预筛选规则</x:v>
      </x:c>
      <x:c r="D1" s="8" t="str">
        <x:v>模型推荐要求</x:v>
      </x:c>
      <x:c r="E1" s="8" t="str">
        <x:v>禁止项/注意事项</x:v>
      </x:c>
      <x:c r="F1" s="8" t="str">
        <x:v>示例商品方向</x:v>
      </x:c>
    </x:row>
    <x:row r="2">
      <x:c r="A2" s="9" t="str">
        <x:v>R001</x:v>
      </x:c>
      <x:c r="B2" s="9" t="str">
        <x:v>孩子吃</x:v>
      </x:c>
      <x:c r="C2" s="9" t="str">
        <x:v>优先不辣、清淡、软烂、方便分食；过滤麻辣/中辣/重口味</x:v>
      </x:c>
      <x:c r="D2" s="9" t="str">
        <x:v>输出理由强调温和、好接受、方便家庭搭配</x:v>
      </x:c>
      <x:c r="E2" s="9" t="str">
        <x:v>不要说营养治疗功效；不要推荐麻辣牙签牛肉</x:v>
      </x:c>
      <x:c r="F2" s="9" t="str">
        <x:v>儿童牛肉水饺、番茄牛腩饭、牛肉丸汤、家庭饺子牛丸组合</x:v>
      </x:c>
    </x:row>
    <x:row r="3">
      <x:c r="A3" s="9" t="str">
        <x:v>R002</x:v>
      </x:c>
      <x:c r="B3" s="9" t="str">
        <x:v>减脂高蛋白</x:v>
      </x:c>
      <x:c r="C3" s="9" t="str">
        <x:v>优先高蛋白、低油、清淡；过滤油脂重/高热量主食过多</x:v>
      </x:c>
      <x:c r="D3" s="9" t="str">
        <x:v>给出蛋白来源和搭配逻辑，控制预算</x:v>
      </x:c>
      <x:c r="E3" s="9" t="str">
        <x:v>不能承诺减肥效果，只能说适合轻负担饮食</x:v>
      </x:c>
      <x:c r="F3" s="9" t="str">
        <x:v>卤牛腱能量碗、高蛋白减脂四件套、健身增肌牛肉盒</x:v>
      </x:c>
    </x:row>
    <x:row r="4">
      <x:c r="A4" s="9" t="str">
        <x:v>R003</x:v>
      </x:c>
      <x:c r="B4" s="9" t="str">
        <x:v>预算30以内</x:v>
      </x:c>
      <x:c r="C4" s="9" t="str">
        <x:v>筛选售价&lt;=30或套餐&lt;=35，优先高权重和库存足商品</x:v>
      </x:c>
      <x:c r="D4" s="9" t="str">
        <x:v>推荐1-2个实惠方案，避免强行超预算</x:v>
      </x:c>
      <x:c r="E4" s="9" t="str">
        <x:v>总价必须由后台计算；模型不能编造优惠</x:v>
      </x:c>
      <x:c r="F4" s="9" t="str">
        <x:v>学生实惠牛肉饭套餐、鸡蛋炒牛肉馄饨、牛肉卷</x:v>
      </x:c>
    </x:row>
    <x:row r="5">
      <x:c r="A5" s="9" t="str">
        <x:v>R004</x:v>
      </x:c>
      <x:c r="B5" s="9" t="str">
        <x:v>想吃辣解馋</x:v>
      </x:c>
      <x:c r="C5" s="9" t="str">
        <x:v>优先麻辣、微辣、下饭、即食熟食；排除孩子/老人友好场景</x:v>
      </x:c>
      <x:c r="D5" s="9" t="str">
        <x:v>可以强调解馋和分享，但不要夸大</x:v>
      </x:c>
      <x:c r="E5" s="9" t="str">
        <x:v>如果用户选择不辣，则不得进入该规则</x:v>
      </x:c>
      <x:c r="F5" s="9" t="str">
        <x:v>牙签牛肉、麻辣手撕牛肉、牛肉酱拌面、麻辣三件套</x:v>
      </x:c>
    </x:row>
    <x:row r="6">
      <x:c r="A6" s="9" t="str">
        <x:v>R005</x:v>
      </x:c>
      <x:c r="B6" s="9" t="str">
        <x:v>烤肉聚餐</x:v>
      </x:c>
      <x:c r="C6" s="9" t="str">
        <x:v>根据人数和预算筛选烤肉套餐/生鲜烤肉；附加蘸料生菜</x:v>
      </x:c>
      <x:c r="D6" s="9" t="str">
        <x:v>推荐主套餐+加购项，说明适合人数</x:v>
      </x:c>
      <x:c r="E6" s="9" t="str">
        <x:v>提醒需要加热/煎烤；不要说现烤除非店内提供</x:v>
      </x:c>
      <x:c r="F6" s="9" t="str">
        <x:v>露营烤肉包、二人轻烤组合、牛仔骨、和牛烤肉片</x:v>
      </x:c>
    </x:row>
    <x:row r="7">
      <x:c r="A7" s="9" t="str">
        <x:v>R006</x:v>
      </x:c>
      <x:c r="B7" s="9" t="str">
        <x:v>库存为0/下架/测试</x:v>
      </x:c>
      <x:c r="C7" s="9" t="str">
        <x:v>后台直接过滤，不进入模型候选商品</x:v>
      </x:c>
      <x:c r="D7" s="9" t="str">
        <x:v>模型输入中不提供该类商品</x:v>
      </x:c>
      <x:c r="E7" s="9" t="str">
        <x:v>售罄/下架/测试状态不得展示给顾客</x:v>
      </x:c>
      <x:c r="F7" s="9" t="str">
        <x:v>清爽黄瓜萝卜脆、黑蒜牛腩汤饭、隐藏测试商品</x:v>
      </x:c>
    </x:row>
    <x:row r="8">
      <x:c r="A8" s="9" t="str">
        <x:v>R007</x:v>
      </x:c>
      <x:c r="B8" s="9" t="str">
        <x:v>高客单尝鲜</x:v>
      </x:c>
      <x:c r="C8" s="9" t="str">
        <x:v>预算&gt;=150且人数&gt;=2时，允许推荐高端和牛/双人餐</x:v>
      </x:c>
      <x:c r="D8" s="9" t="str">
        <x:v>强调品质体验和搭配完整度</x:v>
      </x:c>
      <x:c r="E8" s="9" t="str">
        <x:v>不要强推超预算产品</x:v>
      </x:c>
      <x:c r="F8" s="9" t="str">
        <x:v>高客单和牛尝鲜双人餐、M6和牛烤肉片、露营豪华包</x:v>
      </x:c>
    </x:row>
    <x:row r="9">
      <x:c r="A9" s="9" t="str">
        <x:v>R008</x:v>
      </x:c>
      <x:c r="B9" s="9" t="str">
        <x:v>老人友好</x:v>
      </x:c>
      <x:c r="C9" s="9" t="str">
        <x:v>优先清淡、软烂、汤品、不辣；避免带骨难咀嚼</x:v>
      </x:c>
      <x:c r="D9" s="9" t="str">
        <x:v>推荐说明要温和、易入口</x:v>
      </x:c>
      <x:c r="E9" s="9" t="str">
        <x:v>不做医疗健康承诺</x:v>
      </x:c>
      <x:c r="F9" s="9" t="str">
        <x:v>老人软烂牛腩汤、番茄牛腩饭、牛肉蔬菜低卡汤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16" hidden="0" customWidth="1"/>
    <x:col min="6" max="6" width="10" hidden="0" customWidth="1"/>
    <x:col min="7" max="7" width="14" hidden="0" customWidth="1"/>
    <x:col min="8" max="8" width="10" hidden="0" customWidth="1"/>
    <x:col min="9" max="9" width="8" hidden="0" customWidth="1"/>
    <x:col min="10" max="10" width="28" hidden="0" customWidth="1"/>
    <x:col min="11" max="11" width="45" hidden="0" customWidth="1"/>
  </x:cols>
  <x:sheetData>
    <x:row r="1">
      <x:c r="A1" s="30" t="str">
        <x:v>测试ID</x:v>
      </x:c>
      <x:c r="B1" s="30" t="str">
        <x:v>用餐人数</x:v>
      </x:c>
      <x:c r="C1" s="30" t="str">
        <x:v>预算范围</x:v>
      </x:c>
      <x:c r="D1" s="30" t="str">
        <x:v>具体预算</x:v>
      </x:c>
      <x:c r="E1" s="30" t="str">
        <x:v>用餐场景</x:v>
      </x:c>
      <x:c r="F1" s="30" t="str">
        <x:v>用餐方式</x:v>
      </x:c>
      <x:c r="G1" s="30" t="str">
        <x:v>是否需要主食</x:v>
      </x:c>
      <x:c r="H1" s="30" t="str">
        <x:v>口味强度</x:v>
      </x:c>
      <x:c r="I1" s="30" t="str">
        <x:v>辣度</x:v>
      </x:c>
      <x:c r="J1" s="30" t="str">
        <x:v>忌口/备注</x:v>
      </x:c>
      <x:c r="K1" s="30" t="str">
        <x:v>期望系统行为</x:v>
      </x:c>
    </x:row>
    <x:row r="2">
      <x:c r="A2" s="9" t="str">
        <x:v>U001</x:v>
      </x:c>
      <x:c r="B2" s="9" t="str">
        <x:v>1人</x:v>
      </x:c>
      <x:c r="C2" s="9" t="str">
        <x:v>30元以内</x:v>
      </x:c>
      <x:c r="D2" s="9" t="n">
        <x:v>30</x:v>
      </x:c>
      <x:c r="E2" s="9" t="str">
        <x:v>一个人吃饭</x:v>
      </x:c>
      <x:c r="F2" s="9" t="str">
        <x:v>堂食</x:v>
      </x:c>
      <x:c r="G2" s="9" t="str">
        <x:v>需要主食</x:v>
      </x:c>
      <x:c r="H2" s="9" t="str">
        <x:v>正常</x:v>
      </x:c>
      <x:c r="I2" s="9" t="str">
        <x:v>不辣</x:v>
      </x:c>
      <x:c r="J2" s="9" t="str">
        <x:v>想吃快一点</x:v>
      </x:c>
      <x:c r="K2" s="9" t="str">
        <x:v>推荐30以内单人主食；可加小汤，不超预算</x:v>
      </x:c>
    </x:row>
    <x:row r="3">
      <x:c r="A3" s="9" t="str">
        <x:v>U002</x:v>
      </x:c>
      <x:c r="B3" s="9" t="str">
        <x:v>2人</x:v>
      </x:c>
      <x:c r="C3" s="9" t="str">
        <x:v>100元以内</x:v>
      </x:c>
      <x:c r="D3" s="9" t="n">
        <x:v>100</x:v>
      </x:c>
      <x:c r="E3" s="9" t="str">
        <x:v>减脂高蛋白</x:v>
      </x:c>
      <x:c r="F3" s="9" t="str">
        <x:v>外带</x:v>
      </x:c>
      <x:c r="G3" s="9" t="str">
        <x:v>都可以</x:v>
      </x:c>
      <x:c r="H3" s="9" t="str">
        <x:v>清淡</x:v>
      </x:c>
      <x:c r="I3" s="9" t="str">
        <x:v>不辣</x:v>
      </x:c>
      <x:c r="J3" s="9" t="str">
        <x:v>不要肥肉</x:v>
      </x:c>
      <x:c r="K3" s="9" t="str">
        <x:v>优先高蛋白减脂套餐或卤牛腱/牛筋丸/鸡胸组合</x:v>
      </x:c>
    </x:row>
    <x:row r="4">
      <x:c r="A4" s="9" t="str">
        <x:v>U003</x:v>
      </x:c>
      <x:c r="B4" s="9" t="str">
        <x:v>一家人</x:v>
      </x:c>
      <x:c r="C4" s="9" t="str">
        <x:v>100元以内</x:v>
      </x:c>
      <x:c r="D4" s="9" t="n">
        <x:v>100</x:v>
      </x:c>
      <x:c r="E4" s="9" t="str">
        <x:v>孩子吃</x:v>
      </x:c>
      <x:c r="F4" s="9" t="str">
        <x:v>外带</x:v>
      </x:c>
      <x:c r="G4" s="9" t="str">
        <x:v>都可以</x:v>
      </x:c>
      <x:c r="H4" s="9" t="str">
        <x:v>清淡</x:v>
      </x:c>
      <x:c r="I4" s="9" t="str">
        <x:v>不辣</x:v>
      </x:c>
      <x:c r="J4" s="9" t="str">
        <x:v>两大一小</x:v>
      </x:c>
      <x:c r="K4" s="9" t="str">
        <x:v>过滤麻辣商品，推荐儿童套餐/家庭饺子牛丸组合</x:v>
      </x:c>
    </x:row>
    <x:row r="5">
      <x:c r="A5" s="9" t="str">
        <x:v>U004</x:v>
      </x:c>
      <x:c r="B5" s="9" t="str">
        <x:v>3-4人</x:v>
      </x:c>
      <x:c r="C5" s="9" t="str">
        <x:v>200元以内</x:v>
      </x:c>
      <x:c r="D5" s="9" t="n">
        <x:v>180</x:v>
      </x:c>
      <x:c r="E5" s="9" t="str">
        <x:v>烤肉聚餐</x:v>
      </x:c>
      <x:c r="F5" s="9" t="str">
        <x:v>外带</x:v>
      </x:c>
      <x:c r="G5" s="9" t="str">
        <x:v>不需要主食</x:v>
      </x:c>
      <x:c r="H5" s="9" t="str">
        <x:v>正常</x:v>
      </x:c>
      <x:c r="I5" s="9" t="str">
        <x:v>可选</x:v>
      </x:c>
      <x:c r="J5" s="9" t="str">
        <x:v>想回家自己烤</x:v>
      </x:c>
      <x:c r="K5" s="9" t="str">
        <x:v>推荐烤肉套餐、生菜蘸料、牛仔骨/肥牛</x:v>
      </x:c>
    </x:row>
    <x:row r="6">
      <x:c r="A6" s="9" t="str">
        <x:v>U005</x:v>
      </x:c>
      <x:c r="B6" s="9" t="str">
        <x:v>2人</x:v>
      </x:c>
      <x:c r="C6" s="9" t="str">
        <x:v>100元以内</x:v>
      </x:c>
      <x:c r="D6" s="9" t="n">
        <x:v>80</x:v>
      </x:c>
      <x:c r="E6" s="9" t="str">
        <x:v>想吃辣解馋</x:v>
      </x:c>
      <x:c r="F6" s="9" t="str">
        <x:v>堂食</x:v>
      </x:c>
      <x:c r="G6" s="9" t="str">
        <x:v>不需要主食</x:v>
      </x:c>
      <x:c r="H6" s="9" t="str">
        <x:v>重口味</x:v>
      </x:c>
      <x:c r="I6" s="9" t="str">
        <x:v>麻辣</x:v>
      </x:c>
      <x:c r="J6" s="9" t="str">
        <x:v>不要主食</x:v>
      </x:c>
      <x:c r="K6" s="9" t="str">
        <x:v>推荐牙签牛肉、手撕牛肉、麻辣三件套，附解辣汤品</x:v>
      </x:c>
    </x:row>
    <x:row r="7">
      <x:c r="A7" s="9" t="str">
        <x:v>U006</x:v>
      </x:c>
      <x:c r="B7" s="9" t="str">
        <x:v>1人</x:v>
      </x:c>
      <x:c r="C7" s="9" t="str">
        <x:v>50元以内</x:v>
      </x:c>
      <x:c r="D7" s="9" t="n">
        <x:v>50</x:v>
      </x:c>
      <x:c r="E7" s="9" t="str">
        <x:v>减脂高蛋白</x:v>
      </x:c>
      <x:c r="F7" s="9" t="str">
        <x:v>外卖</x:v>
      </x:c>
      <x:c r="G7" s="9" t="str">
        <x:v>不需要主食</x:v>
      </x:c>
      <x:c r="H7" s="9" t="str">
        <x:v>清淡</x:v>
      </x:c>
      <x:c r="I7" s="9" t="str">
        <x:v>不辣</x:v>
      </x:c>
      <x:c r="J7" s="9" t="str">
        <x:v>晚上吃，别太油</x:v>
      </x:c>
      <x:c r="K7" s="9" t="str">
        <x:v>推荐能量碗/牛肉蔬菜汤/低脂牛筋丸，避免重油主食</x:v>
      </x:c>
    </x:row>
    <x:row r="8">
      <x:c r="A8" s="9" t="str">
        <x:v>U007</x:v>
      </x:c>
      <x:c r="B8" s="9" t="str">
        <x:v>2人</x:v>
      </x:c>
      <x:c r="C8" s="9" t="str">
        <x:v>200元以内</x:v>
      </x:c>
      <x:c r="D8" s="9" t="n">
        <x:v>168</x:v>
      </x:c>
      <x:c r="E8" s="9" t="str">
        <x:v>高品质尝鲜</x:v>
      </x:c>
      <x:c r="F8" s="9" t="str">
        <x:v>堂食</x:v>
      </x:c>
      <x:c r="G8" s="9" t="str">
        <x:v>需要主食</x:v>
      </x:c>
      <x:c r="H8" s="9" t="str">
        <x:v>正常</x:v>
      </x:c>
      <x:c r="I8" s="9" t="str">
        <x:v>不辣</x:v>
      </x:c>
      <x:c r="J8" s="9" t="str">
        <x:v>想吃和牛</x:v>
      </x:c>
      <x:c r="K8" s="9" t="str">
        <x:v>推荐高客单和牛双人餐或和牛蛋白饭+烤肉片</x:v>
      </x:c>
    </x:row>
    <x:row r="9">
      <x:c r="A9" s="9" t="str">
        <x:v>U008</x:v>
      </x:c>
      <x:c r="B9" s="9" t="str">
        <x:v>1人</x:v>
      </x:c>
      <x:c r="C9" s="9" t="str">
        <x:v>30元以内</x:v>
      </x:c>
      <x:c r="D9" s="9" t="n">
        <x:v>25</x:v>
      </x:c>
      <x:c r="E9" s="9" t="str">
        <x:v>正常吃饭</x:v>
      </x:c>
      <x:c r="F9" s="9" t="str">
        <x:v>外卖</x:v>
      </x:c>
      <x:c r="G9" s="9" t="str">
        <x:v>需要主食</x:v>
      </x:c>
      <x:c r="H9" s="9" t="str">
        <x:v>重口味</x:v>
      </x:c>
      <x:c r="I9" s="9" t="str">
        <x:v>中辣</x:v>
      </x:c>
      <x:c r="J9" s="9" t="str">
        <x:v>想吃辣但预算低</x:v>
      </x:c>
      <x:c r="K9" s="9" t="str">
        <x:v>推荐湘式和牛拌饭或麻辣牛肉酱拌面，控制预算</x:v>
      </x:c>
    </x:row>
    <x:row r="10">
      <x:c r="A10" s="9" t="str">
        <x:v>U009</x:v>
      </x:c>
      <x:c r="B10" s="9" t="str">
        <x:v>2人</x:v>
      </x:c>
      <x:c r="C10" s="9" t="str">
        <x:v>50元以内</x:v>
      </x:c>
      <x:c r="D10" s="9" t="n">
        <x:v>50</x:v>
      </x:c>
      <x:c r="E10" s="9" t="str">
        <x:v>老人友好</x:v>
      </x:c>
      <x:c r="F10" s="9" t="str">
        <x:v>堂食</x:v>
      </x:c>
      <x:c r="G10" s="9" t="str">
        <x:v>都可以</x:v>
      </x:c>
      <x:c r="H10" s="9" t="str">
        <x:v>清淡</x:v>
      </x:c>
      <x:c r="I10" s="9" t="str">
        <x:v>不辣</x:v>
      </x:c>
      <x:c r="J10" s="9" t="str">
        <x:v>老人吃，软一点</x:v>
      </x:c>
      <x:c r="K10" s="9" t="str">
        <x:v>推荐软烂汤品/番茄牛腩饭，过滤带骨、麻辣</x:v>
      </x:c>
    </x:row>
    <x:row r="11">
      <x:c r="A11" s="9" t="str">
        <x:v>U010</x:v>
      </x:c>
      <x:c r="B11" s="9" t="str">
        <x:v>3-4人</x:v>
      </x:c>
      <x:c r="C11" s="9" t="str">
        <x:v>150元以内</x:v>
      </x:c>
      <x:c r="D11" s="9" t="n">
        <x:v>150</x:v>
      </x:c>
      <x:c r="E11" s="9" t="str">
        <x:v>一家人备餐</x:v>
      </x:c>
      <x:c r="F11" s="9" t="str">
        <x:v>外带</x:v>
      </x:c>
      <x:c r="G11" s="9" t="str">
        <x:v>都可以</x:v>
      </x:c>
      <x:c r="H11" s="9" t="str">
        <x:v>正常</x:v>
      </x:c>
      <x:c r="I11" s="9" t="str">
        <x:v>不辣</x:v>
      </x:c>
      <x:c r="J11" s="9" t="str">
        <x:v>明天早餐也能吃</x:v>
      </x:c>
      <x:c r="K11" s="9" t="str">
        <x:v>推荐家庭备餐组合、水饺牛丸、牛肉饼、牛腩块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6" hidden="0" customWidth="1"/>
  </x:cols>
  <x:sheetData>
    <x:row r="1">
      <x:c r="A1" s="30" t="str">
        <x:v>字段</x:v>
      </x:c>
      <x:c r="B1" s="30" t="str">
        <x:v>说明</x:v>
      </x:c>
      <x:c r="C1" s="30" t="str">
        <x:v>程序用途</x:v>
      </x:c>
    </x:row>
    <x:row r="2">
      <x:c r="A2" s="9" t="str">
        <x:v>产品ID</x:v>
      </x:c>
      <x:c r="B2" s="9" t="str">
        <x:v>唯一标识</x:v>
      </x:c>
      <x:c r="C2" s="9" t="str">
        <x:v>后端主键/订单明细引用</x:v>
      </x:c>
    </x:row>
    <x:row r="3">
      <x:c r="A3" s="9" t="str">
        <x:v>售价/成本估算/毛利率</x:v>
      </x:c>
      <x:c r="B3" s="9" t="str">
        <x:v>毛利率为公式计算</x:v>
      </x:c>
      <x:c r="C3" s="9" t="str">
        <x:v>用于利润和推荐权重分析</x:v>
      </x:c>
    </x:row>
    <x:row r="4">
      <x:c r="A4" s="9" t="str">
        <x:v>建议人数下限/上限</x:v>
      </x:c>
      <x:c r="B4" s="9" t="str">
        <x:v>商品适合几个人</x:v>
      </x:c>
      <x:c r="C4" s="9" t="str">
        <x:v>按用餐人数过滤</x:v>
      </x:c>
    </x:row>
    <x:row r="5">
      <x:c r="A5" s="9" t="str">
        <x:v>推荐预算下限/上限</x:v>
      </x:c>
      <x:c r="B5" s="9" t="str">
        <x:v>商品适合的预算范围</x:v>
      </x:c>
      <x:c r="C5" s="9" t="str">
        <x:v>按用户预算过滤</x:v>
      </x:c>
    </x:row>
    <x:row r="6">
      <x:c r="A6" s="9" t="str">
        <x:v>库存/上架状态</x:v>
      </x:c>
      <x:c r="B6" s="9" t="str">
        <x:v>是否可推荐</x:v>
      </x:c>
      <x:c r="C6" s="9" t="str">
        <x:v>库存为0、下架、测试应过滤</x:v>
      </x:c>
    </x:row>
    <x:row r="7">
      <x:c r="A7" s="9" t="str">
        <x:v>推荐权重</x:v>
      </x:c>
      <x:c r="B7" s="9" t="str">
        <x:v>1-10，越高越优先</x:v>
      </x:c>
      <x:c r="C7" s="9" t="str">
        <x:v>同等条件下排序</x:v>
      </x:c>
    </x:row>
    <x:row r="8">
      <x:c r="A8" s="9" t="str">
        <x:v>堂食/外带/外卖可用</x:v>
      </x:c>
      <x:c r="B8" s="9" t="str">
        <x:v>销售渠道控制</x:v>
      </x:c>
      <x:c r="C8" s="9" t="str">
        <x:v>按用户用餐方式过滤</x:v>
      </x:c>
    </x:row>
    <x:row r="9">
      <x:c r="A9" s="9" t="str">
        <x:v>适合场景标签</x:v>
      </x:c>
      <x:c r="B9" s="9" t="str">
        <x:v>逗号分隔</x:v>
      </x:c>
      <x:c r="C9" s="9" t="str">
        <x:v>传给模型做语义匹配</x:v>
      </x:c>
    </x:row>
    <x:row r="10">
      <x:c r="A10" s="9" t="str">
        <x:v>AI提示词商品摘要</x:v>
      </x:c>
      <x:c r="B10" s="9" t="str">
        <x:v>可直接进入模型上下文</x:v>
      </x:c>
      <x:c r="C10" s="9" t="str">
        <x:v>减少模型误解商品信息</x:v>
      </x:c>
    </x:row>
  </x:sheetData>
  <x:pageMargins left="0.7" right="0.7" top="0.75" bottom="0.75" header="0.3" footer="0.3"/>
</x:worksheet>
</file>